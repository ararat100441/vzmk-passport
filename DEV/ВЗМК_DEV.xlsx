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"/>
    </mc:Choice>
  </mc:AlternateContent>
  <xr:revisionPtr revIDLastSave="0" documentId="13_ncr:1_{CB96D8DA-BD58-4CE9-A744-5FAE1BDB2CA7}" xr6:coauthVersionLast="47" xr6:coauthVersionMax="47" xr10:uidLastSave="{00000000-0000-0000-0000-000000000000}"/>
  <bookViews>
    <workbookView xWindow="-110" yWindow="-110" windowWidth="25820" windowHeight="15500" tabRatio="473" xr2:uid="{00000000-000D-0000-FFFF-FFFF00000000}"/>
  </bookViews>
  <sheets>
    <sheet name="Паспорт качества" sheetId="4" r:id="rId1"/>
    <sheet name="Лист2" sheetId="6" r:id="rId2"/>
    <sheet name="Журнал АВК" sheetId="3" r:id="rId3"/>
  </sheets>
  <definedNames>
    <definedName name="_xlnm.Print_Area" localSheetId="0">'Паспорт качества'!$A$1:$P$401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01" i="4" l="1"/>
  <c r="N401" i="4"/>
  <c r="O401" i="4"/>
  <c r="M400" i="4"/>
  <c r="N400" i="4"/>
  <c r="O400" i="4"/>
  <c r="M399" i="4"/>
  <c r="N399" i="4"/>
  <c r="O399" i="4"/>
  <c r="M398" i="4"/>
  <c r="O398" i="4"/>
  <c r="M397" i="4"/>
  <c r="N397" i="4"/>
  <c r="O397" i="4"/>
  <c r="M396" i="4"/>
  <c r="N396" i="4"/>
  <c r="O396" i="4"/>
  <c r="M395" i="4" l="1"/>
  <c r="O395" i="4"/>
  <c r="M394" i="4" l="1"/>
  <c r="N394" i="4"/>
  <c r="O394" i="4"/>
  <c r="M393" i="4" l="1"/>
  <c r="N393" i="4"/>
  <c r="O393" i="4"/>
  <c r="M392" i="4"/>
  <c r="N392" i="4"/>
  <c r="O392" i="4"/>
  <c r="M391" i="4"/>
  <c r="N391" i="4"/>
  <c r="O391" i="4"/>
  <c r="M390" i="4"/>
  <c r="N390" i="4"/>
  <c r="O390" i="4"/>
  <c r="M389" i="4"/>
  <c r="N389" i="4"/>
  <c r="O389" i="4"/>
  <c r="M388" i="4"/>
  <c r="N388" i="4"/>
  <c r="O388" i="4"/>
  <c r="M387" i="4" l="1"/>
  <c r="N387" i="4"/>
  <c r="O387" i="4"/>
  <c r="M386" i="4"/>
  <c r="N386" i="4"/>
  <c r="O386" i="4"/>
  <c r="M385" i="4" l="1"/>
  <c r="N385" i="4"/>
  <c r="O385" i="4"/>
  <c r="M384" i="4"/>
  <c r="N384" i="4"/>
  <c r="O384" i="4"/>
  <c r="M383" i="4"/>
  <c r="N383" i="4"/>
  <c r="O383" i="4"/>
  <c r="M382" i="4"/>
  <c r="N382" i="4"/>
  <c r="O382" i="4"/>
  <c r="M381" i="4" l="1"/>
  <c r="N381" i="4"/>
  <c r="O381" i="4"/>
  <c r="M380" i="4"/>
  <c r="N380" i="4"/>
  <c r="O380" i="4"/>
  <c r="M379" i="4"/>
  <c r="N379" i="4"/>
  <c r="O379" i="4"/>
  <c r="M378" i="4"/>
  <c r="N378" i="4"/>
  <c r="O378" i="4"/>
  <c r="M377" i="4"/>
  <c r="N377" i="4"/>
  <c r="O377" i="4"/>
  <c r="M376" i="4"/>
  <c r="N376" i="4"/>
  <c r="O376" i="4"/>
  <c r="M375" i="4"/>
  <c r="N375" i="4"/>
  <c r="O375" i="4"/>
  <c r="M374" i="4" l="1"/>
  <c r="N374" i="4"/>
  <c r="O374" i="4"/>
  <c r="M373" i="4"/>
  <c r="N373" i="4"/>
  <c r="O373" i="4"/>
  <c r="M372" i="4" l="1"/>
  <c r="N372" i="4"/>
  <c r="O372" i="4"/>
  <c r="M371" i="4"/>
  <c r="N371" i="4"/>
  <c r="O371" i="4"/>
  <c r="M370" i="4" l="1"/>
  <c r="N370" i="4"/>
  <c r="O370" i="4"/>
  <c r="M369" i="4"/>
  <c r="N369" i="4"/>
  <c r="O369" i="4"/>
  <c r="M368" i="4"/>
  <c r="N368" i="4"/>
  <c r="O368" i="4"/>
  <c r="M367" i="4"/>
  <c r="N367" i="4"/>
  <c r="O367" i="4"/>
  <c r="M366" i="4" l="1"/>
  <c r="N366" i="4"/>
  <c r="O366" i="4"/>
  <c r="M365" i="4"/>
  <c r="O365" i="4"/>
  <c r="M364" i="4" l="1"/>
  <c r="O364" i="4"/>
  <c r="M363" i="4" l="1"/>
  <c r="O363" i="4"/>
  <c r="M362" i="4" l="1"/>
  <c r="O362" i="4"/>
  <c r="M361" i="4"/>
  <c r="N361" i="4"/>
  <c r="O361" i="4"/>
  <c r="M360" i="4"/>
  <c r="N360" i="4"/>
  <c r="O360" i="4"/>
  <c r="M359" i="4"/>
  <c r="N359" i="4"/>
  <c r="O359" i="4"/>
  <c r="M358" i="4"/>
  <c r="N358" i="4"/>
  <c r="O358" i="4"/>
  <c r="M357" i="4"/>
  <c r="N357" i="4"/>
  <c r="O357" i="4"/>
  <c r="M356" i="4"/>
  <c r="N356" i="4"/>
  <c r="O356" i="4"/>
  <c r="M355" i="4"/>
  <c r="N355" i="4"/>
  <c r="O355" i="4"/>
  <c r="M354" i="4"/>
  <c r="N354" i="4"/>
  <c r="O354" i="4"/>
  <c r="M353" i="4"/>
  <c r="N353" i="4"/>
  <c r="O353" i="4"/>
  <c r="M352" i="4"/>
  <c r="N352" i="4"/>
  <c r="O352" i="4"/>
  <c r="M351" i="4"/>
  <c r="N351" i="4"/>
  <c r="O351" i="4"/>
  <c r="M350" i="4"/>
  <c r="N350" i="4"/>
  <c r="O350" i="4"/>
  <c r="M349" i="4"/>
  <c r="N349" i="4"/>
  <c r="O349" i="4"/>
  <c r="M348" i="4"/>
  <c r="N348" i="4"/>
  <c r="O348" i="4"/>
  <c r="M347" i="4" l="1"/>
  <c r="O347" i="4"/>
  <c r="M346" i="4" l="1"/>
  <c r="M345" i="4" l="1"/>
  <c r="N345" i="4"/>
  <c r="O345" i="4"/>
  <c r="M344" i="4" l="1"/>
  <c r="N344" i="4"/>
  <c r="O344" i="4"/>
  <c r="M343" i="4"/>
  <c r="N343" i="4"/>
  <c r="O343" i="4"/>
  <c r="M342" i="4"/>
  <c r="N342" i="4"/>
  <c r="O342" i="4"/>
  <c r="M341" i="4"/>
  <c r="N341" i="4"/>
  <c r="O341" i="4"/>
  <c r="M340" i="4"/>
  <c r="N340" i="4"/>
  <c r="O340" i="4"/>
  <c r="M339" i="4"/>
  <c r="N339" i="4"/>
  <c r="O339" i="4"/>
  <c r="M338" i="4"/>
  <c r="N338" i="4"/>
  <c r="O338" i="4"/>
  <c r="M337" i="4"/>
  <c r="N337" i="4"/>
  <c r="O337" i="4"/>
  <c r="N336" i="4"/>
  <c r="O336" i="4"/>
  <c r="M336" i="4"/>
  <c r="M335" i="4" l="1"/>
  <c r="N335" i="4"/>
  <c r="O335" i="4"/>
  <c r="M334" i="4"/>
  <c r="N334" i="4"/>
  <c r="O334" i="4"/>
  <c r="M333" i="4"/>
  <c r="N333" i="4"/>
  <c r="O333" i="4"/>
  <c r="M332" i="4"/>
  <c r="N332" i="4"/>
  <c r="O332" i="4"/>
  <c r="M331" i="4"/>
  <c r="N331" i="4"/>
  <c r="O331" i="4"/>
  <c r="M330" i="4"/>
  <c r="N330" i="4"/>
  <c r="O330" i="4"/>
  <c r="M329" i="4"/>
  <c r="N329" i="4"/>
  <c r="O329" i="4"/>
  <c r="M328" i="4"/>
  <c r="N328" i="4"/>
  <c r="O328" i="4"/>
  <c r="M327" i="4"/>
  <c r="N327" i="4"/>
  <c r="O327" i="4"/>
  <c r="M326" i="4" l="1"/>
  <c r="O326" i="4"/>
  <c r="M325" i="4"/>
  <c r="N325" i="4"/>
  <c r="O325" i="4"/>
  <c r="M324" i="4"/>
  <c r="N324" i="4"/>
  <c r="O324" i="4"/>
  <c r="M323" i="4" l="1"/>
  <c r="O323" i="4"/>
  <c r="M322" i="4" l="1"/>
  <c r="O322" i="4"/>
  <c r="O321" i="4"/>
  <c r="M321" i="4"/>
  <c r="M320" i="4" l="1"/>
  <c r="N320" i="4"/>
  <c r="O320" i="4"/>
  <c r="M319" i="4"/>
  <c r="N319" i="4"/>
  <c r="O319" i="4"/>
  <c r="M318" i="4"/>
  <c r="N318" i="4"/>
  <c r="O318" i="4"/>
  <c r="M317" i="4"/>
  <c r="M316" i="4"/>
  <c r="N316" i="4"/>
  <c r="O316" i="4"/>
  <c r="M315" i="4"/>
  <c r="N315" i="4"/>
  <c r="O315" i="4"/>
  <c r="M314" i="4"/>
  <c r="O314" i="4"/>
  <c r="M313" i="4" l="1"/>
  <c r="O313" i="4"/>
  <c r="M312" i="4" l="1"/>
  <c r="N312" i="4"/>
  <c r="O312" i="4"/>
  <c r="M311" i="4"/>
  <c r="N311" i="4"/>
  <c r="O311" i="4"/>
  <c r="M310" i="4"/>
  <c r="N310" i="4"/>
  <c r="O310" i="4"/>
  <c r="M309" i="4"/>
  <c r="N309" i="4"/>
  <c r="O309" i="4"/>
  <c r="M308" i="4"/>
  <c r="N308" i="4"/>
  <c r="O308" i="4"/>
  <c r="M307" i="4"/>
  <c r="N307" i="4"/>
  <c r="O307" i="4"/>
  <c r="M306" i="4"/>
  <c r="M305" i="4" l="1"/>
  <c r="O305" i="4"/>
  <c r="M304" i="4"/>
  <c r="N304" i="4"/>
  <c r="O304" i="4"/>
  <c r="M303" i="4"/>
  <c r="N303" i="4"/>
  <c r="O303" i="4"/>
  <c r="M302" i="4"/>
  <c r="N302" i="4"/>
  <c r="O302" i="4"/>
  <c r="M301" i="4"/>
  <c r="N301" i="4"/>
  <c r="O301" i="4"/>
  <c r="M300" i="4"/>
  <c r="N300" i="4"/>
  <c r="O300" i="4"/>
  <c r="M299" i="4"/>
  <c r="N299" i="4"/>
  <c r="O299" i="4"/>
  <c r="M298" i="4"/>
  <c r="N298" i="4"/>
  <c r="O298" i="4"/>
  <c r="M297" i="4"/>
  <c r="N297" i="4"/>
  <c r="O297" i="4"/>
  <c r="M296" i="4"/>
  <c r="N296" i="4"/>
  <c r="O296" i="4"/>
  <c r="M294" i="4"/>
  <c r="N294" i="4"/>
  <c r="O294" i="4"/>
  <c r="M295" i="4"/>
  <c r="N295" i="4"/>
  <c r="O295" i="4"/>
  <c r="M293" i="4"/>
  <c r="N293" i="4"/>
  <c r="O293" i="4"/>
  <c r="M292" i="4"/>
  <c r="N292" i="4"/>
  <c r="O292" i="4"/>
  <c r="M291" i="4" l="1"/>
  <c r="N291" i="4"/>
  <c r="O291" i="4"/>
  <c r="M290" i="4"/>
  <c r="N290" i="4"/>
  <c r="O290" i="4"/>
  <c r="M289" i="4"/>
  <c r="N289" i="4"/>
  <c r="O289" i="4"/>
  <c r="M288" i="4"/>
  <c r="N288" i="4"/>
  <c r="O288" i="4"/>
  <c r="M287" i="4"/>
  <c r="N287" i="4"/>
  <c r="O287" i="4"/>
  <c r="M286" i="4"/>
  <c r="N286" i="4"/>
  <c r="O286" i="4"/>
  <c r="M285" i="4"/>
  <c r="N285" i="4"/>
  <c r="O285" i="4"/>
  <c r="M284" i="4"/>
  <c r="N284" i="4"/>
  <c r="O284" i="4"/>
  <c r="M283" i="4"/>
  <c r="N283" i="4"/>
  <c r="O283" i="4"/>
  <c r="M282" i="4"/>
  <c r="N282" i="4"/>
  <c r="O282" i="4"/>
  <c r="M281" i="4"/>
  <c r="N281" i="4"/>
  <c r="O281" i="4"/>
  <c r="M280" i="4"/>
  <c r="N280" i="4"/>
  <c r="O280" i="4"/>
  <c r="M279" i="4"/>
  <c r="N279" i="4"/>
  <c r="O279" i="4"/>
  <c r="M278" i="4"/>
  <c r="N278" i="4"/>
  <c r="O278" i="4"/>
  <c r="M277" i="4"/>
  <c r="N277" i="4"/>
  <c r="O277" i="4"/>
  <c r="M276" i="4"/>
  <c r="N276" i="4"/>
  <c r="O276" i="4"/>
  <c r="M275" i="4"/>
  <c r="N275" i="4"/>
  <c r="O275" i="4"/>
  <c r="M274" i="4"/>
  <c r="N274" i="4"/>
  <c r="O274" i="4"/>
  <c r="M273" i="4"/>
  <c r="N273" i="4"/>
  <c r="O273" i="4"/>
  <c r="M271" i="4"/>
  <c r="M272" i="4"/>
  <c r="N271" i="4"/>
  <c r="N272" i="4"/>
  <c r="O271" i="4"/>
  <c r="O272" i="4"/>
  <c r="M270" i="4"/>
  <c r="N270" i="4" l="1"/>
  <c r="O270" i="4"/>
  <c r="M269" i="4" l="1"/>
  <c r="N269" i="4"/>
  <c r="O269" i="4"/>
  <c r="N267" i="4"/>
  <c r="M268" i="4"/>
  <c r="N268" i="4"/>
  <c r="O268" i="4"/>
  <c r="M267" i="4"/>
  <c r="O267" i="4"/>
  <c r="M266" i="4"/>
  <c r="N266" i="4"/>
  <c r="O266" i="4"/>
  <c r="O265" i="4"/>
  <c r="M264" i="4"/>
  <c r="N264" i="4"/>
  <c r="O264" i="4"/>
  <c r="M263" i="4"/>
  <c r="N263" i="4"/>
  <c r="O263" i="4"/>
  <c r="M262" i="4"/>
  <c r="N262" i="4"/>
  <c r="O262" i="4"/>
  <c r="M261" i="4"/>
  <c r="N261" i="4"/>
  <c r="O261" i="4"/>
  <c r="M260" i="4"/>
  <c r="N260" i="4"/>
  <c r="O260" i="4"/>
  <c r="M259" i="4"/>
  <c r="N259" i="4"/>
  <c r="O259" i="4"/>
  <c r="M258" i="4"/>
  <c r="N258" i="4"/>
  <c r="O258" i="4"/>
  <c r="M257" i="4"/>
  <c r="N257" i="4"/>
  <c r="O257" i="4"/>
  <c r="M256" i="4"/>
  <c r="N256" i="4"/>
  <c r="O256" i="4"/>
  <c r="M255" i="4"/>
  <c r="N255" i="4"/>
  <c r="O255" i="4"/>
  <c r="M254" i="4" l="1"/>
  <c r="N254" i="4"/>
  <c r="O254" i="4"/>
  <c r="M253" i="4"/>
  <c r="N253" i="4"/>
  <c r="O253" i="4"/>
  <c r="M252" i="4"/>
  <c r="N252" i="4"/>
  <c r="O252" i="4"/>
  <c r="M251" i="4"/>
  <c r="N251" i="4"/>
  <c r="O251" i="4"/>
  <c r="M250" i="4"/>
  <c r="N250" i="4"/>
  <c r="O250" i="4"/>
  <c r="M249" i="4"/>
  <c r="N249" i="4"/>
  <c r="O249" i="4"/>
  <c r="M248" i="4"/>
  <c r="N248" i="4"/>
  <c r="O248" i="4"/>
  <c r="M247" i="4"/>
  <c r="N247" i="4"/>
  <c r="O247" i="4"/>
  <c r="M246" i="4"/>
  <c r="N246" i="4"/>
  <c r="O246" i="4"/>
  <c r="M245" i="4"/>
  <c r="N245" i="4"/>
  <c r="O245" i="4"/>
  <c r="M244" i="4"/>
  <c r="N244" i="4"/>
  <c r="O244" i="4"/>
  <c r="M243" i="4"/>
  <c r="N243" i="4"/>
  <c r="O243" i="4"/>
  <c r="M242" i="4"/>
  <c r="N242" i="4"/>
  <c r="O242" i="4"/>
  <c r="M241" i="4" l="1"/>
  <c r="N241" i="4"/>
  <c r="O241" i="4"/>
  <c r="M240" i="4"/>
  <c r="N240" i="4"/>
  <c r="O240" i="4"/>
  <c r="M239" i="4"/>
  <c r="N239" i="4"/>
  <c r="O239" i="4"/>
  <c r="M238" i="4"/>
  <c r="N238" i="4"/>
  <c r="O238" i="4"/>
  <c r="M237" i="4"/>
  <c r="N237" i="4"/>
  <c r="O237" i="4"/>
  <c r="M236" i="4" l="1"/>
  <c r="O236" i="4"/>
  <c r="M235" i="4" l="1"/>
  <c r="N235" i="4"/>
  <c r="O235" i="4"/>
  <c r="M234" i="4"/>
  <c r="N234" i="4"/>
  <c r="O234" i="4"/>
  <c r="M233" i="4"/>
  <c r="N233" i="4"/>
  <c r="O233" i="4"/>
  <c r="M232" i="4"/>
  <c r="N232" i="4"/>
  <c r="O232" i="4"/>
  <c r="M231" i="4"/>
  <c r="N231" i="4"/>
  <c r="O231" i="4"/>
  <c r="M230" i="4"/>
  <c r="N230" i="4"/>
  <c r="O230" i="4"/>
  <c r="M229" i="4"/>
  <c r="N229" i="4"/>
  <c r="O229" i="4"/>
  <c r="M228" i="4" l="1"/>
  <c r="N228" i="4"/>
  <c r="O228" i="4"/>
  <c r="M227" i="4"/>
  <c r="N227" i="4"/>
  <c r="O227" i="4"/>
  <c r="M226" i="4"/>
  <c r="O226" i="4"/>
  <c r="M225" i="4"/>
  <c r="O225" i="4"/>
  <c r="M224" i="4"/>
  <c r="N224" i="4"/>
  <c r="O224" i="4"/>
  <c r="M223" i="4"/>
  <c r="N223" i="4"/>
  <c r="O223" i="4"/>
  <c r="M222" i="4"/>
  <c r="N222" i="4"/>
  <c r="O222" i="4"/>
  <c r="M221" i="4"/>
  <c r="N221" i="4"/>
  <c r="O221" i="4"/>
  <c r="O220" i="4" l="1"/>
  <c r="N220" i="4"/>
  <c r="M220" i="4"/>
  <c r="M219" i="4"/>
  <c r="N219" i="4"/>
  <c r="O219" i="4"/>
  <c r="M218" i="4"/>
  <c r="N218" i="4"/>
  <c r="O218" i="4"/>
  <c r="M217" i="4"/>
  <c r="N217" i="4"/>
  <c r="O217" i="4"/>
  <c r="M216" i="4"/>
  <c r="N216" i="4"/>
  <c r="O216" i="4"/>
  <c r="M215" i="4" l="1"/>
  <c r="O215" i="4"/>
  <c r="M214" i="4"/>
  <c r="N214" i="4"/>
  <c r="O214" i="4"/>
  <c r="M213" i="4"/>
  <c r="N213" i="4"/>
  <c r="O213" i="4"/>
  <c r="M212" i="4"/>
  <c r="N212" i="4"/>
  <c r="O212" i="4"/>
  <c r="M211" i="4"/>
  <c r="N211" i="4"/>
  <c r="O211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O201" i="4"/>
  <c r="O200" i="4"/>
  <c r="O177" i="4"/>
  <c r="O176" i="4"/>
  <c r="O168" i="4"/>
  <c r="O166" i="4"/>
  <c r="O156" i="4"/>
  <c r="O145" i="4"/>
  <c r="O141" i="4"/>
  <c r="O140" i="4"/>
  <c r="O130" i="4"/>
  <c r="O109" i="4"/>
  <c r="O31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210" i="4"/>
  <c r="O209" i="4"/>
  <c r="O208" i="4"/>
  <c r="O207" i="4"/>
  <c r="O206" i="4"/>
  <c r="O205" i="4" l="1"/>
  <c r="O204" i="4"/>
  <c r="O203" i="4"/>
  <c r="O202" i="4"/>
  <c r="O199" i="4"/>
  <c r="O198" i="4"/>
  <c r="O197" i="4" l="1"/>
  <c r="O195" i="4"/>
  <c r="O196" i="4" l="1"/>
  <c r="O194" i="4" l="1"/>
  <c r="O193" i="4"/>
  <c r="O192" i="4" l="1"/>
  <c r="O191" i="4"/>
  <c r="O190" i="4"/>
  <c r="O189" i="4"/>
  <c r="O188" i="4"/>
  <c r="O187" i="4"/>
  <c r="O186" i="4"/>
  <c r="O185" i="4"/>
  <c r="O184" i="4"/>
  <c r="O183" i="4"/>
  <c r="O182" i="4"/>
  <c r="O181" i="4"/>
  <c r="O180" i="4" l="1"/>
  <c r="O179" i="4"/>
  <c r="O178" i="4"/>
  <c r="O175" i="4"/>
  <c r="O174" i="4"/>
  <c r="O173" i="4" l="1"/>
  <c r="O172" i="4" l="1"/>
  <c r="O171" i="4"/>
  <c r="O170" i="4"/>
  <c r="O169" i="4"/>
  <c r="O167" i="4"/>
  <c r="O165" i="4"/>
  <c r="O164" i="4"/>
  <c r="O163" i="4"/>
  <c r="O162" i="4"/>
  <c r="O161" i="4"/>
  <c r="O160" i="4"/>
  <c r="O159" i="4"/>
  <c r="O158" i="4"/>
  <c r="O157" i="4"/>
  <c r="O155" i="4"/>
  <c r="O154" i="4"/>
  <c r="O153" i="4"/>
  <c r="O152" i="4"/>
  <c r="O151" i="4"/>
  <c r="O150" i="4"/>
  <c r="O149" i="4"/>
  <c r="O148" i="4" l="1"/>
  <c r="O146" i="4"/>
  <c r="O147" i="4"/>
  <c r="O144" i="4" l="1"/>
  <c r="O143" i="4"/>
  <c r="O142" i="4"/>
  <c r="O139" i="4"/>
  <c r="O138" i="4"/>
  <c r="O137" i="4"/>
  <c r="O136" i="4"/>
  <c r="O135" i="4"/>
  <c r="O134" i="4"/>
  <c r="O133" i="4"/>
  <c r="O132" i="4"/>
  <c r="O131" i="4"/>
  <c r="O129" i="4"/>
  <c r="O128" i="4"/>
  <c r="O127" i="4"/>
  <c r="O126" i="4"/>
  <c r="O125" i="4"/>
  <c r="O124" i="4"/>
  <c r="O123" i="4"/>
  <c r="O122" i="4" l="1"/>
  <c r="O121" i="4"/>
  <c r="O120" i="4"/>
  <c r="O119" i="4"/>
  <c r="O118" i="4"/>
  <c r="O117" i="4"/>
  <c r="O116" i="4"/>
  <c r="O115" i="4"/>
  <c r="O114" i="4"/>
  <c r="O113" i="4" l="1"/>
  <c r="O112" i="4"/>
  <c r="O111" i="4"/>
  <c r="O110" i="4"/>
  <c r="O107" i="4"/>
  <c r="O108" i="4"/>
  <c r="O106" i="4"/>
  <c r="O105" i="4"/>
  <c r="O104" i="4"/>
  <c r="O102" i="4"/>
  <c r="O103" i="4"/>
  <c r="O101" i="4"/>
  <c r="O100" i="4"/>
  <c r="O98" i="4"/>
  <c r="O99" i="4"/>
  <c r="O97" i="4"/>
  <c r="O95" i="4"/>
  <c r="O96" i="4"/>
  <c r="O93" i="4"/>
  <c r="O94" i="4"/>
  <c r="O91" i="4"/>
  <c r="O92" i="4"/>
  <c r="O90" i="4"/>
  <c r="O89" i="4"/>
  <c r="O88" i="4"/>
  <c r="O87" i="4" l="1"/>
  <c r="O86" i="4"/>
  <c r="O85" i="4"/>
  <c r="O84" i="4"/>
  <c r="O2" i="4"/>
  <c r="O3" i="4"/>
  <c r="O4" i="4"/>
  <c r="O5" i="4"/>
  <c r="O6" i="4"/>
  <c r="O7" i="4"/>
  <c r="O59" i="4"/>
  <c r="O58" i="4"/>
  <c r="O57" i="4"/>
  <c r="O56" i="4"/>
  <c r="O55" i="4"/>
  <c r="O54" i="4"/>
  <c r="O53" i="4"/>
  <c r="O52" i="4"/>
  <c r="O51" i="4"/>
  <c r="O50" i="4"/>
  <c r="O48" i="4"/>
  <c r="O49" i="4"/>
  <c r="O47" i="4"/>
  <c r="O44" i="4" l="1"/>
  <c r="O46" i="4"/>
  <c r="O45" i="4"/>
  <c r="O43" i="4" l="1"/>
  <c r="O42" i="4"/>
  <c r="O41" i="4"/>
  <c r="O40" i="4"/>
  <c r="O39" i="4" l="1"/>
  <c r="O38" i="4"/>
  <c r="O37" i="4"/>
  <c r="O36" i="4"/>
  <c r="O34" i="4"/>
  <c r="O33" i="4"/>
  <c r="O32" i="4"/>
  <c r="O30" i="4"/>
  <c r="O29" i="4"/>
  <c r="O28" i="4"/>
  <c r="O27" i="4"/>
  <c r="O24" i="4"/>
  <c r="O23" i="4"/>
  <c r="O22" i="4"/>
  <c r="O26" i="4"/>
  <c r="O25" i="4"/>
  <c r="O21" i="4"/>
  <c r="O20" i="4"/>
  <c r="O19" i="4"/>
  <c r="O18" i="4"/>
  <c r="O17" i="4"/>
  <c r="O16" i="4"/>
  <c r="O15" i="4"/>
  <c r="O14" i="4"/>
  <c r="O13" i="4"/>
  <c r="O8" i="4"/>
  <c r="O9" i="4"/>
  <c r="O10" i="4"/>
  <c r="O11" i="4"/>
  <c r="O35" i="4"/>
  <c r="O12" i="4"/>
</calcChain>
</file>

<file path=xl/sharedStrings.xml><?xml version="1.0" encoding="utf-8"?>
<sst xmlns="http://schemas.openxmlformats.org/spreadsheetml/2006/main" count="4033" uniqueCount="868">
  <si>
    <t>Вес</t>
  </si>
  <si>
    <t>Поставщик</t>
  </si>
  <si>
    <t>Дата прихода</t>
  </si>
  <si>
    <t>№ и дата накладной</t>
  </si>
  <si>
    <t>Количество</t>
  </si>
  <si>
    <t>Дата изготовления МТР</t>
  </si>
  <si>
    <t>Техническое обозначение МТР</t>
  </si>
  <si>
    <t>Завод-изготовитель МТР</t>
  </si>
  <si>
    <t>Сертификат</t>
  </si>
  <si>
    <t>АО "ЕВРАЗ Маркет"</t>
  </si>
  <si>
    <t>ПАО "ЕВРАЗ нижнетагильский металлургический комбинат"</t>
  </si>
  <si>
    <t>фасонный</t>
  </si>
  <si>
    <t>Наименование МТР Прокат металлический листовой/фасонный</t>
  </si>
  <si>
    <t>Дата акта1</t>
  </si>
  <si>
    <t>ООО "Южный горно-металругический комплекс"</t>
  </si>
  <si>
    <t>246 кг</t>
  </si>
  <si>
    <t>С/ф № 120200661/20 от 12.12.2025</t>
  </si>
  <si>
    <t>Двутавр 30Ш1 12000 мм. С255 ГОСТ 35087-2024</t>
  </si>
  <si>
    <t>14995 кг</t>
  </si>
  <si>
    <t>Швеллер 16П 12000 мм. С255 12 ГОСТ 27772-2021</t>
  </si>
  <si>
    <t>2970 кг</t>
  </si>
  <si>
    <t>Труба профильная 60х60х4 6000 мм. Ст3сп 5 ГОСТ 13663-86</t>
  </si>
  <si>
    <t>Швеллер 20П 12000 мм. Ст3сп ГОСТ 535-2005</t>
  </si>
  <si>
    <t>1800 кг</t>
  </si>
  <si>
    <t>41 кг</t>
  </si>
  <si>
    <t>ПАО "Челябинский металлургический комбинат"</t>
  </si>
  <si>
    <t>Сертификат качества № 87-8671</t>
  </si>
  <si>
    <t>Сертификат качества № 14318</t>
  </si>
  <si>
    <t>АО «НТЗ «ТЭМ-ПО»</t>
  </si>
  <si>
    <t>Сертификат качества № 4069</t>
  </si>
  <si>
    <t>Сертификат качества № 41857</t>
  </si>
  <si>
    <t>С/ф № 12010464/10 от 01.12.2025</t>
  </si>
  <si>
    <t>Двутавр 15К1 12000 мм. С255 12 ГОСТ 35087-2024</t>
  </si>
  <si>
    <t>644 кг</t>
  </si>
  <si>
    <t>Сертификат качества № 106430</t>
  </si>
  <si>
    <t>ООО "Металлсервис-Москва"</t>
  </si>
  <si>
    <t>Просечно-вытяжной лист ПВЛ-510 5х1000х2000(2500) ТУ 27.1-2484714-001 Ст3сп1-5</t>
  </si>
  <si>
    <t>Уголок равнополочный о/т Б ГОСТ 8509 Ст3пс/сп5 63х4 дл. 12 м.</t>
  </si>
  <si>
    <t>Уголок равнополочный о/т А ГОСТ 8509-92 Ст3пс/сп5 70х6 дл. 12 м.</t>
  </si>
  <si>
    <t>С/ф № ММ-1557527 от 26.11.2025</t>
  </si>
  <si>
    <t xml:space="preserve">Сертификат качества № </t>
  </si>
  <si>
    <t>Сертификат качества № 25029106</t>
  </si>
  <si>
    <t>МЗ Балаково АО</t>
  </si>
  <si>
    <t>Сертификат качества № 130-42404</t>
  </si>
  <si>
    <t>ПАО "магнитогорский металлургический комбинат"</t>
  </si>
  <si>
    <t>АО "Новосибирский металлургический завод им. Кузьмина"</t>
  </si>
  <si>
    <t>Сертификат качества № 618931</t>
  </si>
  <si>
    <t>АО "Промышленный Центр Обработки Металлов "Электроугли"</t>
  </si>
  <si>
    <t>Сертификат качества № АВ-0006924</t>
  </si>
  <si>
    <t>Трубы электросварные квадрат 80х80х4 дл. 12000 мм. ТУ 24.20.1-001-04775382-2025 Ст3пс</t>
  </si>
  <si>
    <t>Сертификат качества № АВ-0000678</t>
  </si>
  <si>
    <t>Трубы электросварные квадрат 100х100х4 дл. 12000 мм. ТУ 24.20.1-001-52848343-2018 Ст3сп</t>
  </si>
  <si>
    <t>Сертификат качества № 508528</t>
  </si>
  <si>
    <t>Трубы электросварные квадрат 120х120х5 дл. 12000 мм. ТУ 24.20.1-001-52848343-2018 Ст3сп</t>
  </si>
  <si>
    <t>Сертификат качества № 501477</t>
  </si>
  <si>
    <t>Трубы электросварные квадрат 160х160х4 дл. 12000 мм. ГОСТ30245-2003 Ст3сп 5</t>
  </si>
  <si>
    <t>Сертификат качества № 204624</t>
  </si>
  <si>
    <t>Трубы электросварные прямоуг 50х25х3 дл. 6000 мм. ГОСТ13663 Ст3пс 5</t>
  </si>
  <si>
    <t>Сертификат качества № АВ-0008766</t>
  </si>
  <si>
    <t>Сертификат качества № Ст-0015767</t>
  </si>
  <si>
    <t>ООО "Московский металлопрокатный завод "Металлсервис"</t>
  </si>
  <si>
    <t>Трубы электросварные квадрат 140х140х4 дл. 12000 мм. ГОСТ30245-2003 Ст3пс 5</t>
  </si>
  <si>
    <t>Трубы электросварные квадрат 50х50х5 дл. 12000 мм. ГОСТ 13663-86 Ст3сп</t>
  </si>
  <si>
    <t>Трубы электросварные квадрат 80х80х3 дл. 12000 мм. ТУ 24.20.1-001-04775382-2025 Ст3пс 5</t>
  </si>
  <si>
    <t>№</t>
  </si>
  <si>
    <t>10372 кг</t>
  </si>
  <si>
    <t>784 кг</t>
  </si>
  <si>
    <t>343 кг</t>
  </si>
  <si>
    <t>1373 кг</t>
  </si>
  <si>
    <t>79 кг</t>
  </si>
  <si>
    <t>47 кг</t>
  </si>
  <si>
    <t>3403 кг</t>
  </si>
  <si>
    <t>925 кг</t>
  </si>
  <si>
    <t>601 кг</t>
  </si>
  <si>
    <t>805 кг</t>
  </si>
  <si>
    <t>980 кг</t>
  </si>
  <si>
    <t>17 шт.</t>
  </si>
  <si>
    <t>4 шт.</t>
  </si>
  <si>
    <t>7 шт.</t>
  </si>
  <si>
    <t>73 шт.</t>
  </si>
  <si>
    <t>16 шт.</t>
  </si>
  <si>
    <t>32 шт.</t>
  </si>
  <si>
    <t>№ паспорта</t>
  </si>
  <si>
    <t>Договор №</t>
  </si>
  <si>
    <t>Заказчик</t>
  </si>
  <si>
    <t>Наименование объекта</t>
  </si>
  <si>
    <t>Масса кг</t>
  </si>
  <si>
    <t xml:space="preserve">Дата начала </t>
  </si>
  <si>
    <t xml:space="preserve">Дата окончания </t>
  </si>
  <si>
    <t>КМ Организация и шифр</t>
  </si>
  <si>
    <t>КМД Организация</t>
  </si>
  <si>
    <t>шифр КМД</t>
  </si>
  <si>
    <t>Марка стали</t>
  </si>
  <si>
    <t>ВИК Дата</t>
  </si>
  <si>
    <t>УЗК Дата</t>
  </si>
  <si>
    <t>3/2025</t>
  </si>
  <si>
    <t xml:space="preserve"> 314-25/1074 от 31 октября 2025 г.</t>
  </si>
  <si>
    <t>ООО «ЕТУ»</t>
  </si>
  <si>
    <t>«Конвеерные галереи №2 и №7»</t>
  </si>
  <si>
    <t>1632-2021-2.1.2, 2.1.7 КМД2</t>
  </si>
  <si>
    <t>ООО «К5 ИНЖИНИРИНГ» 1632-2021-2.1.2, 2.1.7 КМ2</t>
  </si>
  <si>
    <t>ООО «К5 ИНЖИНИРИНГ»</t>
  </si>
  <si>
    <t>С255-4, С245-4, С235, С355-5, Ст3пс5, С355-5(Z25)</t>
  </si>
  <si>
    <t>4/2025</t>
  </si>
  <si>
    <t>  Здание Энергоцентра  </t>
  </si>
  <si>
    <t>2908-МК от 28 августа 2025 г.</t>
  </si>
  <si>
    <t>ООО «Велесстрой»</t>
  </si>
  <si>
    <t>ВС.24.ПО-Э1.2-РД-ЭЦ-КМД</t>
  </si>
  <si>
    <t>ООО «ВИ-ОН ГРУПП» ВС.24.ПО-Э1.2-РД-ЭЦ-КМ1</t>
  </si>
  <si>
    <t>С235, С245, С255</t>
  </si>
  <si>
    <t>ООО «ВЗМК»</t>
  </si>
  <si>
    <t>1/2025</t>
  </si>
  <si>
    <t>Многофункциональный рекреационный комплекс "Геленджик Марина" Береговая часть. Этап 1.2. Инженерная инфроструктура. Здание Энергоцентра</t>
  </si>
  <si>
    <t>Дата Акз</t>
  </si>
  <si>
    <t>5/2025</t>
  </si>
  <si>
    <t>ООО «РУСОКСО»</t>
  </si>
  <si>
    <t>13-25 от 12.08.2025</t>
  </si>
  <si>
    <t>ООО «Инженерное Бюро «АНКОР» 2-ЭГ-2019-800_1-КМ_А8</t>
  </si>
  <si>
    <t>2-ЭГ-2019-800-1-Б2-КМД</t>
  </si>
  <si>
    <t>6/2025</t>
  </si>
  <si>
    <t>7/2025</t>
  </si>
  <si>
    <t>2/2025</t>
  </si>
  <si>
    <t>8/2025</t>
  </si>
  <si>
    <t>9/2025</t>
  </si>
  <si>
    <t>10/2025</t>
  </si>
  <si>
    <t>ООО «К5 ИНЖИНИРИНГ» 1632-2021-2.1.2, 2.1.7 КМ3</t>
  </si>
  <si>
    <t>Бассейн</t>
  </si>
  <si>
    <t>11/Б/2025</t>
  </si>
  <si>
    <t>15/25 от 28.08.2025 г.</t>
  </si>
  <si>
    <t>ООО «СамараТрансАвто-2000»</t>
  </si>
  <si>
    <t>Строительство объекта спорта Бассейн "Водная Арена" крытый с длиной чаши 50 м, расположенного по адресу:
Самарская область, муниципальный район Волжский, сельское поселение Лопатино. «Бассейн "Водная Арена" крытый с длиной чаши 50 м ».</t>
  </si>
  <si>
    <t>5196/С-24-КМД</t>
  </si>
  <si>
    <t>ООО «Арта-М»  5196/С-24-КМ</t>
  </si>
  <si>
    <t>С255,  C345-8.</t>
  </si>
  <si>
    <t>11/2025</t>
  </si>
  <si>
    <t>12/Б/2025</t>
  </si>
  <si>
    <t>13/Б/2026</t>
  </si>
  <si>
    <t>12/2025</t>
  </si>
  <si>
    <t>13/2025</t>
  </si>
  <si>
    <t>Производственный комплекс по получению промышленных спиртов. Внутриплощадочные технологические
эстакады. Ряд Б. Эстакада Б-2</t>
  </si>
  <si>
    <t>14/2026</t>
  </si>
  <si>
    <t>15/2026</t>
  </si>
  <si>
    <t>6/2026</t>
  </si>
  <si>
    <t>16/2026</t>
  </si>
  <si>
    <t>17/2026</t>
  </si>
  <si>
    <t>ООО «Интерстрой»</t>
  </si>
  <si>
    <t>«Закрытое акционерное общество «Верхнекамская Калийная Компания» ГОК «Талицкий» Склад мелкозернистого продукта №1»</t>
  </si>
  <si>
    <t xml:space="preserve"> 0940/СП/Галерейный тракт №2 от 
03 октября 2025г.</t>
  </si>
  <si>
    <t>7/1.2/2026</t>
  </si>
  <si>
    <t>140505РД-13.1-1-КМД1.2</t>
  </si>
  <si>
    <t>Санкт-Петербургский филиал ООО «НПЦ «Новгородский ГИАП» 140505РД-13.1-1-КМ1.2</t>
  </si>
  <si>
    <t>С345-1, 10ХСНД, С255, С245, С235</t>
  </si>
  <si>
    <t>7/2026</t>
  </si>
  <si>
    <t>A-I(A240), С255-4, С255Б, С245-4, С235, С355-5, С245-4</t>
  </si>
  <si>
    <t>ВОМ 8</t>
  </si>
  <si>
    <t>ВОМ 9</t>
  </si>
  <si>
    <t>9/1.2/2026</t>
  </si>
  <si>
    <t>1/2026</t>
  </si>
  <si>
    <t>Русоко Б2/Метал инвест</t>
  </si>
  <si>
    <t>2/2026</t>
  </si>
  <si>
    <t>8/2026</t>
  </si>
  <si>
    <t>9/2026</t>
  </si>
  <si>
    <t>3/2026</t>
  </si>
  <si>
    <t>10/1.2/2026</t>
  </si>
  <si>
    <t>4/2026</t>
  </si>
  <si>
    <t>18/2026</t>
  </si>
  <si>
    <t>5/2026</t>
  </si>
  <si>
    <t>Порт альянс/1 очередь</t>
  </si>
  <si>
    <t>Конвейерная галерея № 3</t>
  </si>
  <si>
    <t>1632-2021-2.1.3-КМД</t>
  </si>
  <si>
    <t>ООО "СОЭКС ИНЖИНИРИНГ"</t>
  </si>
  <si>
    <t>1/1оч/2026</t>
  </si>
  <si>
    <t>ООО "СОЭКС ИНЖИНИРИНГ" 1632-2021-2.1.3-КМ</t>
  </si>
  <si>
    <t>19/2026</t>
  </si>
  <si>
    <t>2/1оч/2026</t>
  </si>
  <si>
    <t>20/2026</t>
  </si>
  <si>
    <t>3/оч/2026</t>
  </si>
  <si>
    <t>4/оч/2026</t>
  </si>
  <si>
    <t>2 балки</t>
  </si>
  <si>
    <t>1/Б-1/2026</t>
  </si>
  <si>
    <t>№05/25 от 06.11.2025 г.</t>
  </si>
  <si>
    <t>ООО «Далянь Строй»</t>
  </si>
  <si>
    <t>Замена котлоагрегата ст.№ ЭК-5
на ГЭС-1 им. П.Г. Смидовича – филиале ПАО «Мосэнерго».
Главный корпус. Котельная №2.
Металлоконструкции в дымососной котлоагрегата. Балки Б1.</t>
  </si>
  <si>
    <t>01-19-00-00UMA-222-13-КМД1</t>
  </si>
  <si>
    <t>01-19-00-00UMA-222-13-RM1 ООО «Мосэнергопроект»</t>
  </si>
  <si>
    <t>С355</t>
  </si>
  <si>
    <t>5/оч/2026</t>
  </si>
  <si>
    <t>21/2026</t>
  </si>
  <si>
    <t>6/оч/2026</t>
  </si>
  <si>
    <t>22/2026</t>
  </si>
  <si>
    <t>23/2026</t>
  </si>
  <si>
    <t>7/оч/2026</t>
  </si>
  <si>
    <t>ТЭЦ</t>
  </si>
  <si>
    <t>№17-12-21 от 17.12.2021</t>
  </si>
  <si>
    <t>АО «ПМК СПП»</t>
  </si>
  <si>
    <t>05/2024Р-ТЭЦ2-1.2-КМД2</t>
  </si>
  <si>
    <t>ООО «БелЭнергоПроект» 05/2024Р-ТЭЦ2-1.2-КМ2</t>
  </si>
  <si>
    <t>С255, С345, С245, С235</t>
  </si>
  <si>
    <t>Строительство 2-ой очереди Тольяттинского комбината пищевых продуктов. Теплоэлектроцентраль №2
Машинный зал</t>
  </si>
  <si>
    <t>05/2024Р-ТЭЦ2-1.2-КМД2.2</t>
  </si>
  <si>
    <t>05/2024Р-ТЭЦ2-1.1-КМД3</t>
  </si>
  <si>
    <t>Строительство 2-ой очереди
Тольяттинского комбината пищевых продуктов.
Теплоэлектроцентраль №2
Котельный зал</t>
  </si>
  <si>
    <t>ООО «БелЭнергоПроект» 05/2024Р-ТЭЦ2-1.1-КМ3</t>
  </si>
  <si>
    <t>С255, С245, С235</t>
  </si>
  <si>
    <t>05/2024Р-ТЭЦ2-1-ОВ.КМД1</t>
  </si>
  <si>
    <t>Строительство 2-ой очереди
Тольяттинского комбината пищевых продуктов.
Теплоэлектроцентраль №2
Опоры под вентиляторы
Опоры под агрегаты воздушного отопления</t>
  </si>
  <si>
    <t>ООО «БелЭнергоПроект» 05/2024Р-ТЭЦ2-1-ОВ.КМ</t>
  </si>
  <si>
    <t>С245</t>
  </si>
  <si>
    <t>05/2024Р-ТЭЦ2-1-ОВ.КМД</t>
  </si>
  <si>
    <t>С245, С235</t>
  </si>
  <si>
    <t>Строительство 2-ой очереди
Тольяттинского комбината пищевых продуктов.
Теплоэлектроцентраль №2</t>
  </si>
  <si>
    <t>05/2024Р-ТЭЦ2-1.1-КМД</t>
  </si>
  <si>
    <t>ООО «БелЭнергоПроект» 05/2024Р-ТЭЦ2-1.1-КМ</t>
  </si>
  <si>
    <t>С345, С245, С255, С235</t>
  </si>
  <si>
    <t xml:space="preserve">Примечание </t>
  </si>
  <si>
    <t>8/оч/2026</t>
  </si>
  <si>
    <t>10/2026</t>
  </si>
  <si>
    <t>Порт альянс 2,7</t>
  </si>
  <si>
    <t>24/2026</t>
  </si>
  <si>
    <t>9/оч/2026</t>
  </si>
  <si>
    <t>11/2026</t>
  </si>
  <si>
    <t>10/оч/2026</t>
  </si>
  <si>
    <t>11/оч/2026</t>
  </si>
  <si>
    <t>12/2026</t>
  </si>
  <si>
    <t>12/оч/2026</t>
  </si>
  <si>
    <t>25/2026</t>
  </si>
  <si>
    <t>13/2026</t>
  </si>
  <si>
    <t>13/оч/2026</t>
  </si>
  <si>
    <t>26/2026</t>
  </si>
  <si>
    <t>14/оч/2026</t>
  </si>
  <si>
    <t>27/2026</t>
  </si>
  <si>
    <t xml:space="preserve">Кондитерский Дом </t>
  </si>
  <si>
    <t>11/25 от 02.12.2025 г.</t>
  </si>
  <si>
    <t>ООО "Кондитерский дом "Саниева"</t>
  </si>
  <si>
    <t>Магазин «Алма»
Республика Башкортостан г. Туймазы</t>
  </si>
  <si>
    <t>ОП-2021-05-КМ/КМД</t>
  </si>
  <si>
    <t xml:space="preserve"> ---</t>
  </si>
  <si>
    <t>ООО "ВПК Концепт"</t>
  </si>
  <si>
    <t>С255, С345</t>
  </si>
  <si>
    <t>15/оч/2026</t>
  </si>
  <si>
    <t>28/2026</t>
  </si>
  <si>
    <t>16/оч/2026</t>
  </si>
  <si>
    <t>17/оч/2026</t>
  </si>
  <si>
    <t>29/2026</t>
  </si>
  <si>
    <t>18/оч/2026</t>
  </si>
  <si>
    <t>19/оч/2026</t>
  </si>
  <si>
    <t>30/2026</t>
  </si>
  <si>
    <t>20/оч/2026</t>
  </si>
  <si>
    <t>21/оч/2026</t>
  </si>
  <si>
    <t>22/оч/2026</t>
  </si>
  <si>
    <t>31/2026</t>
  </si>
  <si>
    <t>23/оч/2026</t>
  </si>
  <si>
    <t>24/оч/2026</t>
  </si>
  <si>
    <t>32/2026</t>
  </si>
  <si>
    <t>кинель</t>
  </si>
  <si>
    <t>33/2026</t>
  </si>
  <si>
    <t>25/оч/2026</t>
  </si>
  <si>
    <t>семейкино</t>
  </si>
  <si>
    <t>34/2026</t>
  </si>
  <si>
    <t>26/оч/2026</t>
  </si>
  <si>
    <t>35/2026</t>
  </si>
  <si>
    <t>27/оч/2026</t>
  </si>
  <si>
    <t>28/оч/2026</t>
  </si>
  <si>
    <t>36/2026</t>
  </si>
  <si>
    <t>29/оч/2026</t>
  </si>
  <si>
    <t>СКФ</t>
  </si>
  <si>
    <t>15/25 от 15 декабря 2025 г.</t>
  </si>
  <si>
    <t>ООО «СКФ»</t>
  </si>
  <si>
    <t>Склад 24х24</t>
  </si>
  <si>
    <t>259-2025-КМ/КМД/ОК</t>
  </si>
  <si>
    <t>ООО "Вертикаль"</t>
  </si>
  <si>
    <t>30/оч/2026</t>
  </si>
  <si>
    <t>Быков</t>
  </si>
  <si>
    <t>10/11 от 10.11.2025 г.</t>
  </si>
  <si>
    <t xml:space="preserve"> ООО «ПСК КомплекстСтройПроект»</t>
  </si>
  <si>
    <t>453-КМД-3</t>
  </si>
  <si>
    <t>Складской комплекс, расположенный на земельном участке с кадастровым номером 02:55:020416:163 по адресу: Российская Федерация, Республика Башкортостан, г. Уфа, р-н Калининский, ул. Трамвайная, 4/8</t>
  </si>
  <si>
    <t>ИП "Быков Сергей Александрович"</t>
  </si>
  <si>
    <t>С245, С345</t>
  </si>
  <si>
    <t>31/оч/2026</t>
  </si>
  <si>
    <t>37/2026</t>
  </si>
  <si>
    <t>32/оч/2026</t>
  </si>
  <si>
    <t>38/2026</t>
  </si>
  <si>
    <t>33/оч/2026</t>
  </si>
  <si>
    <t>34/оч/2026</t>
  </si>
  <si>
    <t>39/2026</t>
  </si>
  <si>
    <t>35/оч/2026</t>
  </si>
  <si>
    <t>36/оч/2026</t>
  </si>
  <si>
    <t>40/2026</t>
  </si>
  <si>
    <t>37/оч/2026</t>
  </si>
  <si>
    <t>Аспкет склад 1.2</t>
  </si>
  <si>
    <t>Аспкет склад 1.2 (договор поменялся)</t>
  </si>
  <si>
    <t>11/1.2/2026</t>
  </si>
  <si>
    <t>АИ-0047/СП/ВКК ГТ 2 от 20.02.2026</t>
  </si>
  <si>
    <t>ООО «АСПЭК-Инжиниринг»</t>
  </si>
  <si>
    <t>38/оч/2026</t>
  </si>
  <si>
    <t>39/оч/2026</t>
  </si>
  <si>
    <t>40/оч/2026</t>
  </si>
  <si>
    <t>41/2026</t>
  </si>
  <si>
    <t>41/оч/2026</t>
  </si>
  <si>
    <t>Соединения</t>
  </si>
  <si>
    <t>Элемент рамы, Площадка, Монтажный элемент</t>
  </si>
  <si>
    <t>42/оч/2026</t>
  </si>
  <si>
    <t>Распорка, Балка, Закладная деталь, Колонна, Монтажный элемент , Прокладка, Связь, Стойка, Стойка фахверка, Настил</t>
  </si>
  <si>
    <t xml:space="preserve">Балка , Прогон , Ригель фахверка , Распорка </t>
  </si>
  <si>
    <t>43/оч/2026</t>
  </si>
  <si>
    <t>Велесстрой багратион</t>
  </si>
  <si>
    <t> 1103-МК-ДКиС от 16.02.2026</t>
  </si>
  <si>
    <t>ООО «ГКК»</t>
  </si>
  <si>
    <t>Бизнес-центр "Мост Багратион" по адресу
город Москва, Краснопресненская набережная, вл.16, стр.1</t>
  </si>
  <si>
    <t>C-05-2025-ОК1-КМД</t>
  </si>
  <si>
    <t>OOO "Институт Горной
Промышленности"</t>
  </si>
  <si>
    <t>Монтаж распорки</t>
  </si>
  <si>
    <t>Элемент рамы, Ферма</t>
  </si>
  <si>
    <t>44/оч/2026</t>
  </si>
  <si>
    <t>Ограждение, Ригель фахверка, Стойка фахверка, Связь , Балка , Колонна , Распорка</t>
  </si>
  <si>
    <t>Роксемаш</t>
  </si>
  <si>
    <t>№ 08/25 от 14.11.2025 г.</t>
  </si>
  <si>
    <t>ООО «Роксемаш»</t>
  </si>
  <si>
    <t>Гараж с подсобными помещениями
в п. Козелки, Самарской области</t>
  </si>
  <si>
    <t xml:space="preserve"> 05-02/22-КМД</t>
  </si>
  <si>
    <t>ООО «Проектное бюро» 05-02/22-КМ</t>
  </si>
  <si>
    <t>С255, С235</t>
  </si>
  <si>
    <t>45/оч/2026</t>
  </si>
  <si>
    <t xml:space="preserve">Балка, Колонна, Ограждение, Распорка, Прогон, Связь </t>
  </si>
  <si>
    <t>46/оч/2026</t>
  </si>
  <si>
    <t>Балка, Ригель фахверка, Колонна, Настил, Прогон, Стойка фахверка, Распорка, Связь</t>
  </si>
  <si>
    <t>Элемент рамы, Рама, Распорка, Монтажный элемент, Траверса</t>
  </si>
  <si>
    <t>47/оч/2026</t>
  </si>
  <si>
    <t>48/оч/2026</t>
  </si>
  <si>
    <t>49/оч/2026</t>
  </si>
  <si>
    <t>Галерея 7</t>
  </si>
  <si>
    <t>12/1.2/2026</t>
  </si>
  <si>
    <t>140505РД-101.7-1-КМД-1. ЛАН-1</t>
  </si>
  <si>
    <t>АИ-0046/СП/ВКК ГТ 2 от 20 февраля 2026 г.</t>
  </si>
  <si>
    <t xml:space="preserve"> Галерея № 7 Наращивание колонн К1</t>
  </si>
  <si>
    <t>С345-5</t>
  </si>
  <si>
    <t>Колонна, Пластина монтажная, Связь</t>
  </si>
  <si>
    <t>50/оч/2026</t>
  </si>
  <si>
    <t xml:space="preserve">Балка, Ригель фахверка, Колонна, Монтажный элемент, Настил, Ограждение, Связь, Стойка фахверка, Прокладка, Распорка </t>
  </si>
  <si>
    <t>Элемент рамы, Прогон, Связь, Рама, Траверса, Распорка, Ограждение, Площадка</t>
  </si>
  <si>
    <t>51/оч/2026</t>
  </si>
  <si>
    <t>Ферма</t>
  </si>
  <si>
    <t>Санкт-Петербургский филиал ООО «НПЦ «Новгородский ГИАП» 140505РД-101.7-1-КМ1.ЛАН-1</t>
  </si>
  <si>
    <t>Производственный комплекс по получению промышленных спиртов. Внутриплощадочные технологические
эстакады. Ряд Б. Эстакада Б-6</t>
  </si>
  <si>
    <t>«ООО «РУСОКСО» 2-ЭГ-2019-800/1-КМ</t>
  </si>
  <si>
    <t xml:space="preserve"> 2-ЭГ-2019-800/1-КМД</t>
  </si>
  <si>
    <t>C255Б, С245-4, С245-5, С255-4, С245, С235, С355-5</t>
  </si>
  <si>
    <t>Элемент рамы, Лестница, Площадка, Прогон, Стремянка</t>
  </si>
  <si>
    <t>Колонна, Балка, Плитка анкерная, Прогон, Связь, Подкос</t>
  </si>
  <si>
    <t>52/оч/2026</t>
  </si>
  <si>
    <t xml:space="preserve">Балка, Колонна, Прогон, Ригель фахверка, Стойка фахверка </t>
  </si>
  <si>
    <t>42/2026</t>
  </si>
  <si>
    <t>Петля, Ограждение, Кронштейн</t>
  </si>
  <si>
    <t>Связь, Подкос, Балка, Колонна, Пластина монтажна</t>
  </si>
  <si>
    <t>53/оч/2026</t>
  </si>
  <si>
    <t>загрузилась 20.03.2026</t>
  </si>
  <si>
    <t>Лестница, Настил, Балка, Распорка</t>
  </si>
  <si>
    <t>54/оч/2026</t>
  </si>
  <si>
    <t xml:space="preserve">Балка , Колонна , Распорка , Прогон , Подвес , Связь , Ригель фахверка </t>
  </si>
  <si>
    <r>
      <t xml:space="preserve">Русоко </t>
    </r>
    <r>
      <rPr>
        <sz val="12"/>
        <color rgb="FFFF0000"/>
        <rFont val="Times New Roman"/>
        <family val="1"/>
        <charset val="204"/>
      </rPr>
      <t>Б6</t>
    </r>
    <r>
      <rPr>
        <sz val="12"/>
        <color theme="1"/>
        <rFont val="Times New Roman"/>
        <family val="1"/>
        <charset val="204"/>
      </rPr>
      <t>/Метал инвест</t>
    </r>
  </si>
  <si>
    <t>55/оч/2026</t>
  </si>
  <si>
    <t>Балка, Лестница</t>
  </si>
  <si>
    <t>Элемент рамы, Рама, Элемент лестницы, Ферма</t>
  </si>
  <si>
    <t>56/оч/2026</t>
  </si>
  <si>
    <t>Настил, Распорка, Лестница</t>
  </si>
  <si>
    <t>Пластина монтажная, Плитка анкерная, Колонна, Связь, Балка, Стойка, Прогон</t>
  </si>
  <si>
    <t>57/оч/2026</t>
  </si>
  <si>
    <t>Настил</t>
  </si>
  <si>
    <t>58/оч/2026</t>
  </si>
  <si>
    <t>Балка, Кронштейн, Настил, Распорка</t>
  </si>
  <si>
    <t>Балка, Прогон, Стойка</t>
  </si>
  <si>
    <t>59/оч/2026</t>
  </si>
  <si>
    <t>Колонна, Распорка, Ригель фахверка</t>
  </si>
  <si>
    <t>Балка, Дверь, Площадка, Прогон, Элемент рамы, Связь, Рама, Монтажный элемент</t>
  </si>
  <si>
    <t>Прогон</t>
  </si>
  <si>
    <t>60/оч/2026</t>
  </si>
  <si>
    <t>Балка, Коллона, Связь, Стойка</t>
  </si>
  <si>
    <t>61/оч/2026</t>
  </si>
  <si>
    <t>Балка</t>
  </si>
  <si>
    <t>склад мелкозернистого КМ1.1</t>
  </si>
  <si>
    <t>склад мелкозернистого КМ3.1</t>
  </si>
  <si>
    <t>АИ-0044/СП/ВКК ГТ 2 от 20.02.2026 г.</t>
  </si>
  <si>
    <t>Склад мелкозернистого продукта №1</t>
  </si>
  <si>
    <t>140505РД-13.1-1-КМД1.1</t>
  </si>
  <si>
    <t>С345-3, С345-1, С245, С235, С255, 10 ХСНД</t>
  </si>
  <si>
    <t>Санкт-Петербургский филиал ООО «НПЦ «Новгородский ГИАП» 140505РД-12-1-КМ1.1</t>
  </si>
  <si>
    <t>АИ-0045/СП/ВКК ГТ 2 от 20.02.2026 г.</t>
  </si>
  <si>
    <t>1/1.1/2026</t>
  </si>
  <si>
    <t>Балка, Подкос, Связь, Стойка, Прогон, Колонна</t>
  </si>
  <si>
    <t>2/1.1/2026</t>
  </si>
  <si>
    <t>Прогон, Колонна, Балка, Пластина анкерная, Пластина монтажная</t>
  </si>
  <si>
    <t>62/оч/2026</t>
  </si>
  <si>
    <t xml:space="preserve">Лестница, Балка, Ригель фахверка, Стойка фахверка </t>
  </si>
  <si>
    <t>63/оч/2026</t>
  </si>
  <si>
    <t>64/оч/2026</t>
  </si>
  <si>
    <t>Настил, Балка, Лестница, Распорка</t>
  </si>
  <si>
    <t>3/1.1/2026</t>
  </si>
  <si>
    <t>Колонна</t>
  </si>
  <si>
    <t>2-ЭГ-2019-800/1-КМД</t>
  </si>
  <si>
    <t>65/оч/2026</t>
  </si>
  <si>
    <t>Настил, Балка, Распорка</t>
  </si>
  <si>
    <t>66/оч/2026</t>
  </si>
  <si>
    <t>Настил, Ограждение</t>
  </si>
  <si>
    <t>общий паспорт</t>
  </si>
  <si>
    <t>Балка, Колонна, Стремянка, Косоур, Настил, Ограждение, Ограждение площадки, Плитка анкерная, Площадка, Монтажная пластина, Прогон, Распорка, Фахверк, Ступень, Связь, Связь горизонтальная, Стойка, Монтажный элемент, Элемент монтажный</t>
  </si>
  <si>
    <t>67/оч/2026</t>
  </si>
  <si>
    <t>Лестница, Балка, Прогон</t>
  </si>
  <si>
    <t>68/оч/2026</t>
  </si>
  <si>
    <t>4/1.1/2026</t>
  </si>
  <si>
    <t>69/оч/2026</t>
  </si>
  <si>
    <t xml:space="preserve">Ограждение, Закладная деталь, Балка , Закладная деталь , Кронштейн , Лестница , Монтажный элемент , Настил , Ригель фахверка , Связь , Щит </t>
  </si>
  <si>
    <t>70/оч/2026</t>
  </si>
  <si>
    <t>Настил, Лестница, Распорка, Ограждение</t>
  </si>
  <si>
    <t>5/1.1/2026</t>
  </si>
  <si>
    <t>Балка, Пластина монтажная</t>
  </si>
  <si>
    <t>Связь, Подкос, Элемент ограждения, Раскос, Прогон</t>
  </si>
  <si>
    <t>6/1.1/2026</t>
  </si>
  <si>
    <t>Балка, Колонна, Прогон</t>
  </si>
  <si>
    <t>7/1.1/2026</t>
  </si>
  <si>
    <t>Связь, Уголок, Балка</t>
  </si>
  <si>
    <t>8/1.1/2026</t>
  </si>
  <si>
    <t>Связь, Балка, Щит, Монорельс</t>
  </si>
  <si>
    <t>Связь, Раскос, Подкос, Балка, Прогон</t>
  </si>
  <si>
    <t>71/оч/2026</t>
  </si>
  <si>
    <t>Настил, Распорка, Ограждение</t>
  </si>
  <si>
    <t>9/1.1/2026</t>
  </si>
  <si>
    <t>Связь, Колонна, Прогон, Щит</t>
  </si>
  <si>
    <t>Связь, Балка, Прогон, Элемент монтажный, Подкос</t>
  </si>
  <si>
    <t>10/1.1/2026</t>
  </si>
  <si>
    <t>Связь, Балка, Стойка, Лестница, Щит, Элемент монтажный</t>
  </si>
  <si>
    <t>Пивной склад</t>
  </si>
  <si>
    <t>1/250/2026</t>
  </si>
  <si>
    <t>Индивидуальный предприниматель Свинарева Юлия Николаевна</t>
  </si>
  <si>
    <t>250-2025-КМ/КМД/ОК</t>
  </si>
  <si>
    <t>С255, С345-3, 09Г2С-12</t>
  </si>
  <si>
    <t>250-2025-КМ ООО "Вертикаль"</t>
  </si>
  <si>
    <t>Строительство нежилого помещения по адресу: Самарская область, Красноярский район, ул Солнечная</t>
  </si>
  <si>
    <t>07/25 Поставки продукции от 14.11.2025 г.</t>
  </si>
  <si>
    <t>Связь, Колонна, Ограждение, Площадка</t>
  </si>
  <si>
    <t>Балка, Колонна, Монтажная пластина, Монтажный уголок, Прогон, Распорка, Ригель стеновой, Связь вертикальная, Связь горизонтальная, Стойка, Ферма, Шайба</t>
  </si>
  <si>
    <t>11/1.1/2026</t>
  </si>
  <si>
    <t>Элемент монтажный, Балка, Связь, Ограждение, Лестница, Щит, Стойка, Прогон, Упор, Настил</t>
  </si>
  <si>
    <t>1/3.1/2026</t>
  </si>
  <si>
    <t>140505РД-13.1-1-КМД3.1</t>
  </si>
  <si>
    <t>Санкт-Петербургский филиал ООО «НПЦ «Новгородский ГИАП» 140505РД-13.1-1-КМ3.1</t>
  </si>
  <si>
    <t>С345-1, С345-3, С235, С245, 10ХСНД</t>
  </si>
  <si>
    <t>одним рейсом оформил паспорт</t>
  </si>
  <si>
    <t>12/1.1/2026</t>
  </si>
  <si>
    <t>Балка, Ограждение</t>
  </si>
  <si>
    <t>2/3.1/2026</t>
  </si>
  <si>
    <t>3/3.1/2026</t>
  </si>
  <si>
    <t>72/оч/2026</t>
  </si>
  <si>
    <t>Щит, Лестница, Ограждение, Настил, Прогон, Балка, Распорка, Колонна, Ригель фахверка, Связь</t>
  </si>
  <si>
    <t>4/3.1/2026</t>
  </si>
  <si>
    <t>Балка, Связь, Плита анкерная, Пластина монтажная, Элемент монтажный, Шайба</t>
  </si>
  <si>
    <t>5/3.1/2026</t>
  </si>
  <si>
    <t>Связь, Балка</t>
  </si>
  <si>
    <t>Связь, Подкос, Ограждение, Балка, Колонна, Стойка</t>
  </si>
  <si>
    <t>6/3.1/2026</t>
  </si>
  <si>
    <t>7/3.1/2026</t>
  </si>
  <si>
    <t>Балка, Распорка, Связь</t>
  </si>
  <si>
    <t>Колонна, Связь, Раскос, Балка</t>
  </si>
  <si>
    <t>8/3.1/2026</t>
  </si>
  <si>
    <t>Балка, Связь</t>
  </si>
  <si>
    <t>13/1.1/2026</t>
  </si>
  <si>
    <t>Связь</t>
  </si>
  <si>
    <r>
      <t xml:space="preserve">Русоко </t>
    </r>
    <r>
      <rPr>
        <sz val="11"/>
        <color rgb="FFFF0000"/>
        <rFont val="Calibri"/>
        <family val="1"/>
        <charset val="204"/>
        <scheme val="minor"/>
      </rPr>
      <t>Б6</t>
    </r>
    <r>
      <rPr>
        <sz val="11"/>
        <color theme="1"/>
        <rFont val="Calibri"/>
        <family val="1"/>
        <charset val="204"/>
        <scheme val="minor"/>
      </rPr>
      <t>/Метал инвест</t>
    </r>
  </si>
  <si>
    <t>9/3.1/2026</t>
  </si>
  <si>
    <t>10/3.1/2026</t>
  </si>
  <si>
    <t>Колонна. Распорка</t>
  </si>
  <si>
    <t>Колонна, Связь</t>
  </si>
  <si>
    <t>73/оч/2026</t>
  </si>
  <si>
    <t>12/3.1/2026</t>
  </si>
  <si>
    <t>11/3.1/2026</t>
  </si>
  <si>
    <t>13/3.1/2026</t>
  </si>
  <si>
    <t>Колонна, Связь, Балка</t>
  </si>
  <si>
    <t>Стойка, Колонна, Площадка, Прогон, Лестница</t>
  </si>
  <si>
    <t>Связь, Балка, Связь, Колонна, Рама, Подкос, Стойка</t>
  </si>
  <si>
    <t>Усть-Луга. Площадки</t>
  </si>
  <si>
    <t>ООО "ЕвроХим - Северо-Запад-2”</t>
  </si>
  <si>
    <t>№ЕХС32.26.397М от 22.04.2026 г.</t>
  </si>
  <si>
    <t>КМ -  АО «Текнимонт» 4124-AI-DU-21170I002S03</t>
  </si>
  <si>
    <t>Ammonia and Urea Production, Kingisepp. 3000 MTPD Ammonia</t>
  </si>
  <si>
    <t>4124-AI-DU-21170I002S03-КМД</t>
  </si>
  <si>
    <t>Балка, Элемент монтажный</t>
  </si>
  <si>
    <t>С345</t>
  </si>
  <si>
    <t>Производство аммиака и карбамида, г.Кингисепп
Установка по производству аммиака производительностью 3000 т/сут.</t>
  </si>
  <si>
    <t>4124-AI-DU-21707I008S07-КМД</t>
  </si>
  <si>
    <t>КМ -  АО «Текнимонт» 4124-AI-DU-21707I008S07</t>
  </si>
  <si>
    <t>Ограждение кровли</t>
  </si>
  <si>
    <t>С245-4</t>
  </si>
  <si>
    <t>4124-AI-DU-21130I012S01.AH-КМД</t>
  </si>
  <si>
    <t>Производство аммиака и карбамида, г. Кингисепп
Установка плава и грануляции карбамида производительностью 4000 т/сут</t>
  </si>
  <si>
    <t>Балка, Ограждение, Площадка, Стремянка, Стойка, Элемент монтажный</t>
  </si>
  <si>
    <t>C245Б-4, C235-4, С245-4</t>
  </si>
  <si>
    <t>Производство аммиака и карбамида, г. Кингисепп
Установка плава и грануляции карбамида производительностью 4000 т/сут.</t>
  </si>
  <si>
    <t>4124-AI-DU-22201I016-КМД</t>
  </si>
  <si>
    <t>КМ -  АО «Текнимонт» 4124-AI-DU-22201I016S77-78</t>
  </si>
  <si>
    <t>Балка, Подвес, Связь, Шайба, Элемент монтажный, Доборный элемент, Косоур, Ограждение, Стремянка, Стойка, Опора</t>
  </si>
  <si>
    <t>С345, С255, С245-4, C235-4</t>
  </si>
  <si>
    <t>КМ -  АО «Текнимонт» 4124-AI-DU-21130I012S01.AH</t>
  </si>
  <si>
    <t>2117/2026</t>
  </si>
  <si>
    <t>2170/2026</t>
  </si>
  <si>
    <t>2113/2026</t>
  </si>
  <si>
    <t>2220/2026</t>
  </si>
  <si>
    <t>74/оч/2026</t>
  </si>
  <si>
    <t>Настил, Лестница, Ограждение, Стремянка</t>
  </si>
  <si>
    <t>75/оч/2026</t>
  </si>
  <si>
    <t>Настил, Лестница, Ограждение, Стремянка, Балка</t>
  </si>
  <si>
    <t>14/3.1/2026</t>
  </si>
  <si>
    <t>15/3.1/2026</t>
  </si>
  <si>
    <t>Русоко Б6/Метал инвест</t>
  </si>
  <si>
    <t>Колонна, Связь, Элемент монтажный, Подкос</t>
  </si>
  <si>
    <t>Распорка, Связь, Балка, Фахверк</t>
  </si>
  <si>
    <t>16/3.1/2026</t>
  </si>
  <si>
    <t>Балка, Крепление</t>
  </si>
  <si>
    <t>17/3.1/2026</t>
  </si>
  <si>
    <t>Балка, Стойка, Раскос, Ограждение</t>
  </si>
  <si>
    <t>18/3.1/2026</t>
  </si>
  <si>
    <t>Балка, Связь, Фахверк, Элемент монтажный, Крепление</t>
  </si>
  <si>
    <t>19/3.1/2026</t>
  </si>
  <si>
    <t>20/3.1/2026</t>
  </si>
  <si>
    <t>21/3.1/2026</t>
  </si>
  <si>
    <t>14/1.1/2026</t>
  </si>
  <si>
    <t>Лестница, Монорельс, Ограждение, Пластина монтажная, Балка</t>
  </si>
  <si>
    <t>Связь, Стойка, Балка, Подкос, Ограждение, Элемент монтажный</t>
  </si>
  <si>
    <t>22/3.1/2026</t>
  </si>
  <si>
    <t>Колонна, Балка, Прогон, Лестница</t>
  </si>
  <si>
    <t>23/3.1/2026</t>
  </si>
  <si>
    <t xml:space="preserve">Балка, Колонна, Монорельс, Связь, Стойка, Тяж </t>
  </si>
  <si>
    <t>Колонна, Рама, Стойка, Связь, Площадка, Монтажный элемент, Ограждение</t>
  </si>
  <si>
    <t>24/3.1/2026</t>
  </si>
  <si>
    <t>Лист чечев. s10, Распорка, Связь, Ограждение, Прогон, Балка</t>
  </si>
  <si>
    <t>25/3.1/2026</t>
  </si>
  <si>
    <t>Прогон, Балка, Связь, Колонна</t>
  </si>
  <si>
    <t>Колонна, Стойка, Связь, Рама, Прогон</t>
  </si>
  <si>
    <t>Рама, Площадка, Ограждение, Балка, Связь, Стойка</t>
  </si>
  <si>
    <t>26/3.1/2026</t>
  </si>
  <si>
    <t>Балка, Колонна, Монорельс, Связь</t>
  </si>
  <si>
    <t>Колонна, Стойка, Площадка</t>
  </si>
  <si>
    <t>Стойка, Площадка, Связь</t>
  </si>
  <si>
    <t>Колонна, Стойка</t>
  </si>
  <si>
    <t>ЕХСЗ2.26.397М от 22.04.2026 г.</t>
  </si>
  <si>
    <t>Производство аммиака и карбамида, г. Кингисепп.
Конструкции опорные для трубопровода 2220501-VA221070</t>
  </si>
  <si>
    <t>4124-AI-DU-22205I019S01-КМД</t>
  </si>
  <si>
    <t>ООО «ПроТех Инжиниринг» 4124-AIDU22205I019S01-КМ</t>
  </si>
  <si>
    <t>С235, С245</t>
  </si>
  <si>
    <t>Балка, Подкос, Пластина монтажная, Рама, Связь, Колонна</t>
  </si>
  <si>
    <t>ООО «ЕвроХим Северо-Запад-2»</t>
  </si>
  <si>
    <t>Площадка, Связь, Колонна, Стойка</t>
  </si>
  <si>
    <t>Балка, Рама, Стойка</t>
  </si>
  <si>
    <t>Колонна, Связь, Стойка, Балка, Рама</t>
  </si>
  <si>
    <t>Балка, Площадка, Связь, Стойка</t>
  </si>
  <si>
    <t>Рама, Стойка</t>
  </si>
  <si>
    <t>04/26 поставки продукции от 07.05.2026 г.</t>
  </si>
  <si>
    <t>ООО «НПО Технология»</t>
  </si>
  <si>
    <t>КПП для нужд ООО «РВБ» Складской комплекс Новосемейкино по адресу: Самарская область, пгт. Новосемейкино, парк Индустриальный, стр. 1.</t>
  </si>
  <si>
    <t>BБ-01-КК/2024-РД-КМД</t>
  </si>
  <si>
    <t>ООО «НПО Технология» BБ-01-КК/2024-РД-КМ</t>
  </si>
  <si>
    <t>Кронштейн, Ригель, Балка, Стремянка, Стойка, Закладная деталь</t>
  </si>
  <si>
    <t>ВБ</t>
  </si>
  <si>
    <t>Рама, Стойка, Балка, Связь</t>
  </si>
  <si>
    <t>Прогон, Связь, Стойка, Площадка</t>
  </si>
  <si>
    <t>КПП2</t>
  </si>
  <si>
    <t>КПП3</t>
  </si>
  <si>
    <t>ООО «НАВИГАТОР. СТРОИТЕЛЬСТВО»</t>
  </si>
  <si>
    <t>НС-ТТ-25-2026 поставки продукции от 14.04.2026 г.</t>
  </si>
  <si>
    <t>склад химикатов</t>
  </si>
  <si>
    <t>ВТ-2-24-РД-11.2-КМД1</t>
  </si>
  <si>
    <t>ООО «КЭС-Инжиниринг» ВТ-2-24-РД-11.2-КМ1</t>
  </si>
  <si>
    <t>Этап 2. Завод по производству компонентов ветроэнергетических установок. Производственная площадка. КПП-3</t>
  </si>
  <si>
    <t>Этап 2. Завод по производству компонентов ветроэнергетических установок. Производственная площадка. КПП-2</t>
  </si>
  <si>
    <t>ВТ-2-24-РД-11.1-КМД1</t>
  </si>
  <si>
    <t>Этап 2. Завод по производству компонентов ветроэнергетических установок. Производственная площадка. Склад химикатов. Вспомогательные конструкции</t>
  </si>
  <si>
    <t>ВТ-2-24-РД-05-КМД1</t>
  </si>
  <si>
    <t>ООО «КЭС-Инжиниринг» ВТ-2-24-РД-05-КМ1</t>
  </si>
  <si>
    <t>Балка, Колонна, Козырек, Фахверк, Плитка анкерная, Стойка, Элемент монтажный, Связь</t>
  </si>
  <si>
    <t>С255, С245</t>
  </si>
  <si>
    <t>Прогон, Балка, Стойка, Фахверк</t>
  </si>
  <si>
    <t xml:space="preserve"> ЕвроХим 11 тонн</t>
  </si>
  <si>
    <t xml:space="preserve"> ЕХСЗ2.26.397М от 22.04.2026г., Спец. №3</t>
  </si>
  <si>
    <t>4124-AI-DU-22404K003S06-КМД</t>
  </si>
  <si>
    <t>Перегрузочная башня конвейера 2404-ТТ003К. Производство карбамида. Узел пересыпки аммиака</t>
  </si>
  <si>
    <t>ООО «ПроТех Инжиниринг» 4124-AI-DU-22404K003S06-КМ</t>
  </si>
  <si>
    <t>Балка, Колонна, Ограждение, Прогон, Плитка анкерная, Пластина монтажная, Фахверк, Связь, Упор, Элемент монтажный</t>
  </si>
  <si>
    <t>Колонна, Балка, Площадка, Стойка, Ограждение, Связь</t>
  </si>
  <si>
    <t>НАВЕСЫ</t>
  </si>
  <si>
    <t>Дубкова Людмила Александровна</t>
  </si>
  <si>
    <t>№14-26 поставки продукции от 02.06.2026 г.</t>
  </si>
  <si>
    <t xml:space="preserve"> НАВЕС</t>
  </si>
  <si>
    <t>Связь, Колонна, Ограждение, Площадка, Козырек, Стойка, Балка, Прогон</t>
  </si>
  <si>
    <t xml:space="preserve">Труба стальная профильная, Уголок </t>
  </si>
  <si>
    <t>Связь, Прогон, Ограждение, Стойка, Площадка, Балка, Элемент монтажный, Лестница</t>
  </si>
  <si>
    <t>Гидроремонт</t>
  </si>
  <si>
    <t>884-Даг-пос-26 от 30.04.2026</t>
  </si>
  <si>
    <t>АО Гидроремонт-ВКК</t>
  </si>
  <si>
    <t>ОКПД2 25.99.2 Поставка изделий опорных и поддерживающих конструкций под токопроводы трансформатора ТСН-2 и шин реактора Р-ТСН-1 Ирганайской ГЭС для нужд Дагестанского филиала АО "Гидроремонт-ВКК" в г. Махачкала</t>
  </si>
  <si>
    <t>2309-60-5-КМ.КМД</t>
  </si>
  <si>
    <t>2309-60-3-КМ.КМД</t>
  </si>
  <si>
    <t>С255</t>
  </si>
  <si>
    <t>2309-60-3-КМ АО "Ленгидропроект"</t>
  </si>
  <si>
    <t>2309-60-5-КМ АО "Ленгидропроект"</t>
  </si>
  <si>
    <t>Стройкомплекс</t>
  </si>
  <si>
    <t>07/26 от 05.06.2026 г.</t>
  </si>
  <si>
    <t>«Реконструкция объекта капитального строительства нежилого здания «Производственно-складской корпус с административными помещениями 2» по адресу: г. Тольятти, Комсомольскийрайон, Поволжское шоссе, д. 3, строение1. Перегородка. Лестница</t>
  </si>
  <si>
    <t>КМД: 29П-24-КМД_3_ИЗМ.1</t>
  </si>
  <si>
    <t>ООО "СТРОЙКОМПЛЕКС"</t>
  </si>
  <si>
    <t>Колонна, Монтажная пластина, Монтажный уголок, Монтажный элемент, Стеновой ригель, Ферма, Шайба</t>
  </si>
  <si>
    <t>Геленджик 42 т.</t>
  </si>
  <si>
    <t>ВС.24.ПО-Э1.2-РД-ЭЦ-КМД3</t>
  </si>
  <si>
    <t>Многофункциональный рекреационный комплекс "Геленджик Марина". Береговая часть. 
Этап 1.2. Инженерная инфроструктура. Энергоцентр</t>
  </si>
  <si>
    <t>ВС.24.П0-Э1.2-РД-ЭЦ-КМ3 ООО «Электросила»</t>
  </si>
  <si>
    <t>2908-МК от 28.08.2025 г.</t>
  </si>
  <si>
    <t>Балка, Ригель фахверка, Элемент монтажный, Колонна</t>
  </si>
  <si>
    <t>Деталь, Подвес, Рама, СВязь, Стойка</t>
  </si>
  <si>
    <t>Деталь, Калитка, Панель, Подвес, Стойка</t>
  </si>
  <si>
    <t>Балка, Элемент монтажный, Опора</t>
  </si>
  <si>
    <t>Балка, Фахверк, Элемент монтажный, Опора</t>
  </si>
  <si>
    <t>Велесстрой уст луга 4 т</t>
  </si>
  <si>
    <t>Велесстрой уст луга 241 т</t>
  </si>
  <si>
    <t>ООО «Сокол инжиниринг»</t>
  </si>
  <si>
    <t>GLE-RD-(L03-02-010)-N 2712.22 рев.01, ООО «ГЛИнжиниринг»</t>
  </si>
  <si>
    <t>Газоперерабатывающий комплекс в составе Комплекса переработки этансодержащего газа в районе поселка Усть-Луга.  
Этапы 9.1, 9.2, 9.3. 
Завод по производству СПГ  
Эстакады 
Здания и сооружения 
Основная эстакада</t>
  </si>
  <si>
    <t>SKL-VD-(L03-02-010)-N-LD 2511.22.135.001</t>
  </si>
  <si>
    <t>С255, С355</t>
  </si>
  <si>
    <t>03-ВЗМК-МК от 13.04.2026</t>
  </si>
  <si>
    <t>Балка, Монтажный элемент, Опора, Подкос, Распорка, Связь вертикальная, Связь горизонтальная, Стойка</t>
  </si>
  <si>
    <t>Колонна, Монтажный элемент, Шайба</t>
  </si>
  <si>
    <t>Парковка Казахстан</t>
  </si>
  <si>
    <t>06/26 от 03.06.2026</t>
  </si>
  <si>
    <t>ООО СТК «ВК»</t>
  </si>
  <si>
    <t>Архитектурно-строительные решения здания парковки подвижного состава</t>
  </si>
  <si>
    <t>WAA0006872-AC2-КМД
6-CLD-B Ak Tas Lift U</t>
  </si>
  <si>
    <t>WAA0006872-AC2 «6-CLD-B Ak Tas Lift U, ООО «Доппельмайр Казахстан»</t>
  </si>
  <si>
    <t>Балка, Колонна</t>
  </si>
  <si>
    <t>Балка, Колонна, Монтажный элемент, Шайба</t>
  </si>
  <si>
    <t>Балка, Монтажный элемент, Связь вертикальная, Связь горизонтальная</t>
  </si>
  <si>
    <t>Фахверк, Колонна, Прогон, Распорка, Связь вертикальная, Связь горизонтальная, Элемент монтажный</t>
  </si>
  <si>
    <t>Балка, Прогон, Фахверк, Распорка, Связь горизонтальная</t>
  </si>
  <si>
    <t>Балка, Колонна, Монтажный элемент, Распорка, Связь вертикальная, Связь горизонтальная</t>
  </si>
  <si>
    <t>Щёкиназот</t>
  </si>
  <si>
    <t>2071460 от 14.05.2026</t>
  </si>
  <si>
    <t>АО «Щёкиноазот»</t>
  </si>
  <si>
    <t>АО "Щекиноазот"
Автомобильная наливная эстакада корп.952/1 со вспомогательными сооружениями (помещениями) на территории АО "Щекиноазот"
Технологическая эстакада</t>
  </si>
  <si>
    <t xml:space="preserve"> 25002.Р-ТХТККМ-КМД</t>
  </si>
  <si>
    <t>ОАО "ГИАП" г. Гродно, 25002.Р-ТХ.ТК.КМ</t>
  </si>
  <si>
    <t>С245, С235, СТ20</t>
  </si>
  <si>
    <t xml:space="preserve">Газоперерабатывающий комплекс в составе Комплекса переработки этансодержащего газа в районе поселка Усть-Луга.  
Этапы 9.1, 9.2, 9.3. 
Завод по производству СПГ  
Эстакады 
Здания и сооружения 
Основная эстакада </t>
  </si>
  <si>
    <t>SKL-VD-(L03-02-010)-N-ZX 2510.22.135.001</t>
  </si>
  <si>
    <t>ООО «Глобал Кэпитал Констракшн» GLE-RD-(L03-02-010)-N 2711.22, GLE-RD-(L03-02-010)-КМ1.22</t>
  </si>
  <si>
    <t>Балка, Колонна, Ограждение, Связь вертикальная</t>
  </si>
  <si>
    <t>Балка, Колонна, Монтажный элемент, Ригель</t>
  </si>
  <si>
    <t>Балка, Ограждение, Ригель, Распорка, Связь вертикальная, Связь горизонтальная</t>
  </si>
  <si>
    <t>0/2026</t>
  </si>
  <si>
    <t>Балка, Колонна, Монорельс, Монтажный элемент, Распорка, Связь горизонтальная</t>
  </si>
  <si>
    <t>Стремянка</t>
  </si>
  <si>
    <t xml:space="preserve">№12/26 от 17 июля 2026 </t>
  </si>
  <si>
    <t>ООО «СамараТранАвто-2000»</t>
  </si>
  <si>
    <t>5196С/-24-АС</t>
  </si>
  <si>
    <t>Лестница, Элемент монтажный</t>
  </si>
  <si>
    <t>Строительсво объекта спорта Бассейн "Водная Арена" крытый с длиной чаши 50 м, расположенного по адресу: Самарская область, маниципальный район Волжский, сельское поселение Лопатино</t>
  </si>
  <si>
    <t>5196/С-24-КМД.Л</t>
  </si>
  <si>
    <t>Балка, Колонна, Ограждение, Ригель</t>
  </si>
  <si>
    <t>ТЭМПО 2</t>
  </si>
  <si>
    <t>1/2/2026</t>
  </si>
  <si>
    <t>МК-3465 от 05.05.2026</t>
  </si>
  <si>
    <t>АО "КАМСКИЙ ЗАВОД МЕТАЛЛОКОНСТРУКЦИЙ "ТЭМПО" (АО "КЗМК "ТЭМПО")</t>
  </si>
  <si>
    <t>Газоперерабатывающий комплекс в составе Комплекса переработки этансодержащего газа в районе поселка Усть-Луга Этап 4.1. Завод по производству СПГ. Секция воздушного охлаждения. Линия 3</t>
  </si>
  <si>
    <t>SKL-VD-(L3-41-030)-N-ZX 2511.3.135.021</t>
  </si>
  <si>
    <t>C245, C255-4, C255Б-4, C355Б-5, C235, C245-4, C355-5, C355-5 Z35</t>
  </si>
  <si>
    <t>Балка, Колонна, Лестница, Монтажная деталь</t>
  </si>
  <si>
    <t>Балка, Колонна, Ограждение, Ригель, Связь вертикальная, Связь горизонтальная</t>
  </si>
  <si>
    <t>Теплица</t>
  </si>
  <si>
    <t>Реконструкция (расширение) Блока №2 зимних многопролетных теплиц по адресу: Смоленская область, Рославльский р-н, г.
Рославль, Астапковичский переезд. 1 этап. Переходная галерея</t>
  </si>
  <si>
    <t>КМ № 09/26 от 02.07.2026</t>
  </si>
  <si>
    <t>ООО ТК «Смоленский»</t>
  </si>
  <si>
    <t>07/2024-КМД.1.1</t>
  </si>
  <si>
    <t xml:space="preserve">ООО «МБМ ГРУПП ПРОЕКТНЫЙ ИНСТИТУТ», 07/2024-КМ.1.1 </t>
  </si>
  <si>
    <t>С255, С345, А240С</t>
  </si>
  <si>
    <t>2/2/2026</t>
  </si>
  <si>
    <t>Балка, Колонна, Связь вертикальная, Лестница, Монтажная деталь, Шайба, Стойка</t>
  </si>
  <si>
    <t>Балка, Колонна. Связь</t>
  </si>
  <si>
    <t>Титул 6 КМ</t>
  </si>
  <si>
    <t>Титул 6 КЖ</t>
  </si>
  <si>
    <t>Этап 2. Завод по производству компонентов ветроэнергетических установок. Производственная площадка. Склад химических отходов. Вспомогательные конструкции</t>
  </si>
  <si>
    <t>Этап 2. Завод по производству компонентов ветроэнергетических установок. Производственная площадка. Склад химических отходов</t>
  </si>
  <si>
    <t>ВТ-2-24-РД-06-КМ1.КМД</t>
  </si>
  <si>
    <t>ВТ-2-24-РД-06-КЖ3.КМД</t>
  </si>
  <si>
    <t>Стойка, Балка</t>
  </si>
  <si>
    <t>Титул 4</t>
  </si>
  <si>
    <t>Этап 2. Завод по производству компонентов ветроэнергетических установок. Производственная площадка. Склад сырья и материалов/химический склад</t>
  </si>
  <si>
    <t>ВТ-2-24-РД-04-КМ1.КМД</t>
  </si>
  <si>
    <t>ООО «КЭС-Инжиниринг», ВТ-2-24-РД-04-КМ1 изм.2</t>
  </si>
  <si>
    <t xml:space="preserve"> ООО «КЭС-Инжиниринг», ВТ-2-24-РД-06-КЖ3</t>
  </si>
  <si>
    <t>ООО «КЭС-Инжиниринг», ВТ-2-24-РД-06-КМ1 изм.1</t>
  </si>
  <si>
    <t>Стойка</t>
  </si>
  <si>
    <t>Балка, Лестница, Монтажный элемент, Ограждение, Ригель, Связь вертикальная, Связь горизонтальная</t>
  </si>
  <si>
    <t>3/2/2026</t>
  </si>
  <si>
    <t>Балка, Монтажная деталь, Шайба, Лестница, Стойка, Колонна, Фахверк-ригель, Связь вертикальная, Связь горизонтальная</t>
  </si>
  <si>
    <t>Ковчег</t>
  </si>
  <si>
    <t>«Склад готовой продукции», расположенный по адресу:
РФ, Самарская область, Пестравский район,
село Пестравка, ул. Степная</t>
  </si>
  <si>
    <t>ООО  «Ковчег»</t>
  </si>
  <si>
    <t>№11/26 от 14.07.2026</t>
  </si>
  <si>
    <t>414-КМ-КМД1</t>
  </si>
  <si>
    <t>ООО «ОСТРОВ-ГРУПП»</t>
  </si>
  <si>
    <t>С255, С245, С345, С345-3</t>
  </si>
  <si>
    <t>Колонна, Балка, Стойка, Связь, Шайба</t>
  </si>
  <si>
    <t>Колонна, Прогон, Шайба</t>
  </si>
  <si>
    <t>Титул 7</t>
  </si>
  <si>
    <t>Титул 4 КЖ</t>
  </si>
  <si>
    <t>Этап 2. Завод по производству компонентов ветроэнергетических установок. Производственная площадка.
Конструкции металлические.
Склад отходов.
Вспомогамельные конструкции</t>
  </si>
  <si>
    <t>ВТ-2-24-РД-07-КМ1.КМД</t>
  </si>
  <si>
    <t>ООО «КЭС-Инжиниринг», ВТ-2-24-РД-07-КМ1</t>
  </si>
  <si>
    <t>С245, С255</t>
  </si>
  <si>
    <t xml:space="preserve">Этап 2. Завод по производству компонентов ветроэнергетических установок. Производственная площадка.
Склад сырья и материалов/химический склад
</t>
  </si>
  <si>
    <t>ВТ-2-24-РД-04-КЖ3.КМД</t>
  </si>
  <si>
    <t>ООО «КЭС-Инжиниринг», ВТ-2-24-РД-04-КЖ3 изм.4</t>
  </si>
  <si>
    <t>Связь, Опора</t>
  </si>
  <si>
    <t>Стойка, балка</t>
  </si>
  <si>
    <t>Деталь</t>
  </si>
  <si>
    <t>4/2/2026</t>
  </si>
  <si>
    <t>Балка, Фахверк-ригель, Связь вертикальная, Связь горизонтальная, Колонна</t>
  </si>
  <si>
    <t>Прогон, Фахверк, Ферма, Горизонтальная связь, Вертикальная связь, Колонна, Прокладка</t>
  </si>
  <si>
    <t>Прогон, Колонна, Балка покрытия</t>
  </si>
  <si>
    <t>Балка, Лестница, Опора, Распорка, Связь горизонтальная, Ограждение, Связь вертикальная</t>
  </si>
  <si>
    <t>Стойка, Прогон, Балка, Связь</t>
  </si>
  <si>
    <t>Стойка, Балка, Деталь, Ограждение</t>
  </si>
  <si>
    <t>Стойка, Балка, Связь, Прогон, Козырек</t>
  </si>
  <si>
    <t>Балка, Стойка, Деталь</t>
  </si>
  <si>
    <t>Балка, Стойка, Козырек, Деталь</t>
  </si>
  <si>
    <t>ООО "СУЗР"</t>
  </si>
  <si>
    <t>Опоры Сызрань</t>
  </si>
  <si>
    <t>№ 08-03/26 от 03.08.2026 г.</t>
  </si>
  <si>
    <t>МЧТ_70_КМ-КМД1</t>
  </si>
  <si>
    <t>___</t>
  </si>
  <si>
    <t>C245-4, C255-4, 09Г2С-15</t>
  </si>
  <si>
    <t xml:space="preserve">Вертикальная связь, Колонна, Лист, Пластина упора, Стремянка      </t>
  </si>
  <si>
    <t>Система защиты от несанкционированного применения БПЛА на объектах компании
Устройство независимой опорной конструкции ЗОК</t>
  </si>
  <si>
    <t xml:space="preserve">Балка площадки, Вертикальная связь, Колонна, Ограждение, Распорка, Стремянка  </t>
  </si>
  <si>
    <t>Аспект 3.1</t>
  </si>
  <si>
    <t>Аспект 1.1</t>
  </si>
  <si>
    <t>№ АИ-0044/СП/ВКК ГТ 2 от 20.02.2026 г.</t>
  </si>
  <si>
    <t>№АИ-0045/СП/ВКК ГТ 2 от 20.02.2026 г.</t>
  </si>
  <si>
    <t>140505РД-13.1-1-КМД1.1 ЛАН-1-2</t>
  </si>
  <si>
    <t>140505РД-13.1-1-КМД3.1 Изм.4 ЛАН</t>
  </si>
  <si>
    <t>140505РД-13.1-1-КМ1.1 (Изм. 1).ЛАН-1, 140505РД-13.1-1-КМ1.1 изм.1.ЛАН-2 Санкт-Петербургский филиал ООО "НПЦ "Акрон инжиниринг"</t>
  </si>
  <si>
    <t>140505РД-13.1-КМ3.1_ЛАН-1, 140505РД-13.1-КМ3.1_ЛАН-2, 140505РД-13.1-КМ3.1 (изм.3), 140505РД-13.1-1-КМ3.1 (Изм.4) Санкт-Петербургский филиал ООО "НПЦ "Акрон инжиниринг"</t>
  </si>
  <si>
    <t>С345-1, С345-4, С345-5, С255, С245</t>
  </si>
  <si>
    <t>С245, С345-1, С235</t>
  </si>
  <si>
    <t>Балка, Фахверк, Элемент монтажный</t>
  </si>
  <si>
    <t>5/2/2026</t>
  </si>
  <si>
    <t>Фахверк-ригель, Балка, Колонна, Стойка, Распорка</t>
  </si>
  <si>
    <t>Балка, Калитка, Лестница вертикальная, Лестница, Ограждение, Ограждение стремянки, Упор, Связь горизонтальная</t>
  </si>
  <si>
    <t>Горизонтальная связь, Вертикальная связь, Ферма</t>
  </si>
  <si>
    <t>Вертикальная связь, Прогон, Фахверк, Элемент фахверка, Горизонтальная связь, Балка покрытия</t>
  </si>
  <si>
    <t>Уголок монтажный, Балка, Пластина монтажная, Фахверк, Элемент монтажный, Шайба</t>
  </si>
  <si>
    <t>Балка, Кронштейн, Лестница, Настил, Ограждение, Элемент монтажный, Опора</t>
  </si>
  <si>
    <t>Прогон, Ферма</t>
  </si>
  <si>
    <t>Балка покрытия, Горизонтальная связь, Крепление, Прогон, Пластина упора, Элемент фахверка, Ферма</t>
  </si>
  <si>
    <t>Балка площадки, Колонна, Ограждение, Распорка, Стремянка</t>
  </si>
  <si>
    <t xml:space="preserve">Распорка, Колонна, Вертикальная связь, Распорка     </t>
  </si>
  <si>
    <t>Колонна, Балкаплощадки, Распорка, Вертикальнаясвязь, Ограждение</t>
  </si>
  <si>
    <t>ТЭМПО 1</t>
  </si>
  <si>
    <t>1/1/2026</t>
  </si>
  <si>
    <t>C255-4, C255Б-4, C355Б-5, C235, C245-4, C355-5, C355-5 Z35</t>
  </si>
  <si>
    <t>Колонна, Вертикальнаясвязь, Стремянка, Ограждение</t>
  </si>
  <si>
    <t>Балка, Площадка, Лестница, Стойка</t>
  </si>
  <si>
    <t>Площадка, Лестница, Балка</t>
  </si>
  <si>
    <t>Титул 7КЖ</t>
  </si>
  <si>
    <t>Этап 2. Завод по производству компонентов ветроэнергетических установок. Производственная площадка.</t>
  </si>
  <si>
    <t>ВТ-2-24-РД-07-КЖ3.КМД</t>
  </si>
  <si>
    <t>ООО «КЭС-Инжиниринг», ВТ-2-24-РД-07-КЖ3 изм. 3</t>
  </si>
  <si>
    <t>Деталь, Связь, Усиление</t>
  </si>
  <si>
    <t>Колонна, Распорка, Вертикальнаясвязь, Ограждение</t>
  </si>
  <si>
    <t>6/2/2026</t>
  </si>
  <si>
    <t>Фахверк-ригель, Балка, Лестница, Кронштейн, Стойка</t>
  </si>
  <si>
    <t>Колонна, Балкаплощадки, Вертикальнаясвязь, Ограждение, Распорка, Стремянка</t>
  </si>
  <si>
    <t>2/1/2026</t>
  </si>
  <si>
    <t>Распорка, Балкаплощадки, Вертикальнаясвязь, Ограждение, Стремянка, Колонна</t>
  </si>
  <si>
    <t>Гараж Казахстан</t>
  </si>
  <si>
    <t>ООО "СТК ВК"</t>
  </si>
  <si>
    <t>№ 06/26 от 03.06.2026</t>
  </si>
  <si>
    <t>WAA0007144-AC2-КМД</t>
  </si>
  <si>
    <t>WAA0007144-AC2 «6-CLD-B Jyrgalan-E. Архитектурно-строительные решения здания парковки подвижного состава</t>
  </si>
  <si>
    <t>Колонна, Пластина монтажная, Шайба, Элемент монтажный</t>
  </si>
  <si>
    <t>7/2/2026</t>
  </si>
  <si>
    <t>Лестница, Стойка, Балка, Колонна, Фахверк-ригель, Связь вертикальная, Связь горизонтальная</t>
  </si>
  <si>
    <t>3/1/2026</t>
  </si>
  <si>
    <t>Фахверк, Колонна, Связь вертикальная</t>
  </si>
  <si>
    <t>Вертикальнаясвязь, Балка, Балкаплощадки, Колонна, Распорка, Стремянка</t>
  </si>
  <si>
    <t>Вертикальнаясвязь, Колонна, Ограждение, Распорка</t>
  </si>
  <si>
    <t>Балка, Балка площадки, Вертикальная связь, Распорка, Шайба, Стремянка, Колонна</t>
  </si>
  <si>
    <t>Вертикальная связь, Колонна, Балка площадки, Распорка, Стремянка, Пластина упора</t>
  </si>
  <si>
    <t>Настил Колонна Балка</t>
  </si>
  <si>
    <t>Колонна, Вертикальнаясвязь, Стремянка, Распорка, Ограждение, Балка, Балкаплощадки, Люк</t>
  </si>
  <si>
    <t>Балка, Деталь, Ограждение, Площадка, Стойка, Стремянка</t>
  </si>
  <si>
    <t>Балка, Деталь, Ограждение, Площадка, Стремянка</t>
  </si>
  <si>
    <t>Балка, Деталь, Козырек, Ограждение, Прогон, Стремянка, Стойка</t>
  </si>
  <si>
    <t>1Р/2026</t>
  </si>
  <si>
    <t>Ремонт</t>
  </si>
  <si>
    <t>4/1/2026</t>
  </si>
  <si>
    <t>Балка, Ригель, Фахверк, Колонна, Балка настила</t>
  </si>
  <si>
    <t>8/2/2026</t>
  </si>
  <si>
    <t>Лестница, Балка, Колонна, Связь вертикальная, Ограждение, Ограждение лестницы, Связь горизонтальная</t>
  </si>
  <si>
    <t>Вертикальнаясвязь, Колонна, Распорка, Балкаплощадки, Стремянка, Ограждение</t>
  </si>
  <si>
    <t>Балка, Настил, Распорка</t>
  </si>
  <si>
    <t>Колонна, Фахверк, Распорка, Ригель, Балка</t>
  </si>
  <si>
    <t>5/1/2026</t>
  </si>
  <si>
    <t>Вертикальная связь, Колонна, Ограждение, Распорка, Стремянка</t>
  </si>
  <si>
    <t>Ковчег 10 т</t>
  </si>
  <si>
    <t>№ 11/26 от 14.07.2026</t>
  </si>
  <si>
    <t>ООО "КОВЧЕГ"</t>
  </si>
  <si>
    <t>453-АС3</t>
  </si>
  <si>
    <t>453-КМД</t>
  </si>
  <si>
    <t>Балка, Балка фахверковая, Колонна, Колонна фахверковая, Прогон, Плитка анкерная, Пластина монтажная, Элемент монтажный</t>
  </si>
  <si>
    <t>"Сооружение вспомогательного использования № 1", расположенного по адресу: РФ, Самарская область, Пестравский район, село Пестравка, ул. Степная. 
Сооружение вспомогательного использования № 1.</t>
  </si>
  <si>
    <t>ВТ-2-24-РД-05-КМД1 изм. 2</t>
  </si>
  <si>
    <t>ВТ-2-24-РД-05-КМ1 изм. 2</t>
  </si>
  <si>
    <t xml:space="preserve">титул 5 имз.2 </t>
  </si>
  <si>
    <t>титул 7 имз.4</t>
  </si>
  <si>
    <t>Этап 2. Завод по производству компонентов ветроэнергетических установок. Производственная площадка. Склад отходов. Вспомогательные конструкции</t>
  </si>
  <si>
    <t>ВТ-2-24-РД-07-КМ1_л14.КМД</t>
  </si>
  <si>
    <t>ВТ-2-24-РД-07-КМ1 изм. 4 листа 14, ООО "КСК-Проект"</t>
  </si>
  <si>
    <t>Рама</t>
  </si>
  <si>
    <t>Опора</t>
  </si>
  <si>
    <t>Балка площадки, Вертикальная связь, Колонна, Ограждение, Распорка, Стремянка</t>
  </si>
  <si>
    <t>Распорка, Балкаплощадки, Стремянка, Ограждение, Колонна, Вертикальнаясвязь</t>
  </si>
  <si>
    <t>6/1/2026</t>
  </si>
  <si>
    <t>Ригель, Балка настила, Колонна, Фахверк, Распорка, Связь горизонтальная</t>
  </si>
  <si>
    <t>Балка площадки, Вертикальная связь, Распорка, Стремянка, Балка, Колонна, Люк</t>
  </si>
  <si>
    <t>7/1/2026</t>
  </si>
  <si>
    <t>Ригель, Балка, Колонна, Распорка, Связь горизонтальная</t>
  </si>
  <si>
    <t>Опоры Сызрань 3</t>
  </si>
  <si>
    <t>ООО "ВИС-КОМП"</t>
  </si>
  <si>
    <t>№ 15/26 от 19.08.2026 г.</t>
  </si>
  <si>
    <t>Вертикальнаясвязь, Колонна, Лист, Пластинаупора, Распорка</t>
  </si>
  <si>
    <t>Балка, Колонна, Распорка, Связь</t>
  </si>
  <si>
    <t>9/2/2026</t>
  </si>
  <si>
    <t>Фахверк-ригель, Ограждение, Лестница, Балка</t>
  </si>
  <si>
    <t>Колонна, Балка</t>
  </si>
  <si>
    <t>Вертикальнаясвязь,  Колонна</t>
  </si>
  <si>
    <t>Вертикальная связь, Распорка</t>
  </si>
  <si>
    <t>Колонна, Распорка, Вертикальнаясвязь</t>
  </si>
  <si>
    <t>8/1/2026</t>
  </si>
  <si>
    <t>Связь вертикальная, Балка, Ригель</t>
  </si>
  <si>
    <t>Вертикальная связь, Колонна</t>
  </si>
  <si>
    <t>10/2/2026</t>
  </si>
  <si>
    <t>Монтажная деталь, Балка, Горизонтальная связь, Фахверк-стойка, Ограждение, Ограждение лестницы, Лестница</t>
  </si>
  <si>
    <t>Балка, Настил</t>
  </si>
  <si>
    <t>Балка, Прогон, Прогон стеновой, Дверной ригель, Настил</t>
  </si>
  <si>
    <t>Вертикальная связь, Колонна, Связь</t>
  </si>
  <si>
    <t>9/1/2026</t>
  </si>
  <si>
    <t>Связь вертикальная, Распорка, Ригель, Балка, Колонна, Связь горизонтальная, Рама, Фахверк</t>
  </si>
  <si>
    <t>2Р/2026</t>
  </si>
  <si>
    <t>Колонна, Прогон, Балка, Воротный ригель, Прогон стеновой</t>
  </si>
  <si>
    <t>Связь, Колонна, Распорка, Уголок, Швеллер</t>
  </si>
  <si>
    <t>3Р/2026</t>
  </si>
  <si>
    <t>Балка, Ригель</t>
  </si>
  <si>
    <t>Гранит</t>
  </si>
  <si>
    <t>14/26 от 13.08.2026</t>
  </si>
  <si>
    <t>ООО "Гранит"</t>
  </si>
  <si>
    <t>Техническое перевооружение трубопровода воздухоснабжения АО "СМЗ". Новый воздуховод на участке от ТК-4б до ТК-8</t>
  </si>
  <si>
    <t>84-7185-КР-КМД</t>
  </si>
  <si>
    <t>С245, Ст3сп5</t>
  </si>
  <si>
    <t>Балка, Ограждение, Стойка, Настил</t>
  </si>
  <si>
    <t>Настил, Площадка, Прогон стеновой, Балка, Прогон, Воротный ригель, Связь, Распорка</t>
  </si>
  <si>
    <t>Связь горизонтальная, Распорка, Ригель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</si>
</sst>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rgb="FFFF0000"/>
      <name val="Calibri"/>
      <family val="1"/>
      <charset val="204"/>
      <scheme val="minor"/>
    </font>
    <font>
      <sz val="11"/>
      <color theme="1"/>
      <name val="Calibri"/>
      <family val="1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4" fontId="1" fillId="0" borderId="0" xfId="0" applyNumberFormat="1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" fontId="1" fillId="0" borderId="0" xfId="0" applyNumberFormat="1" applyFont="1" applyFill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22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1F400-90B4-46FA-9281-82D023AD5C53}" name="Таблица1" displayName="Таблица1" ref="A1:P401" totalsRowShown="0" headerRowDxfId="21" dataDxfId="20">
  <autoFilter ref="A1:P401" xr:uid="{D231F400-90B4-46FA-9281-82D023AD5C53}"/>
  <sortState xmlns:xlrd2="http://schemas.microsoft.com/office/spreadsheetml/2017/richdata2" ref="A2:O83">
    <sortCondition ref="I1:I83"/>
  </sortState>
  <tableColumns count="16">
    <tableColumn id="18" xr3:uid="{74D0AB70-ECBF-4C4C-8642-C8C3DF78C3D7}" name="Примечание " dataDxfId="19"/>
    <tableColumn id="1" xr3:uid="{AD43632E-1FD4-4BD9-A74E-21A3B942787E}" name="№ паспорта" dataDxfId="18"/>
    <tableColumn id="2" xr3:uid="{0A5415C9-22CB-4D6D-9F35-6F7D093D1A2D}" name="Договор №" dataDxfId="17"/>
    <tableColumn id="3" xr3:uid="{DB17D65A-85AF-46E3-B317-F5E2F4EDF663}" name="Заказчик" dataDxfId="16"/>
    <tableColumn id="4" xr3:uid="{52429DEC-BC26-4D2E-BED4-C309D263B547}" name="Наименование объекта" dataDxfId="15"/>
    <tableColumn id="5" xr3:uid="{B7375949-4C01-4E35-9485-4C3EBF8B7E88}" name="шифр КМД" dataDxfId="14"/>
    <tableColumn id="6" xr3:uid="{6733FF8A-5AC3-4DC3-A6CD-0C33100104EE}" name="Масса кг" dataDxfId="13"/>
    <tableColumn id="7" xr3:uid="{103F1814-F5F8-4CA4-B06E-59D6B1884020}" name="Дата начала " dataDxfId="12"/>
    <tableColumn id="8" xr3:uid="{9F10E822-EC34-43B3-BEAF-66DF9F019335}" name="Дата окончания " dataDxfId="11"/>
    <tableColumn id="9" xr3:uid="{F37CEAC0-16F0-494B-A8C9-9DBD9E3848B0}" name="КМ Организация и шифр" dataDxfId="10"/>
    <tableColumn id="10" xr3:uid="{7B4F9937-AFDB-4EAE-BE0C-29FCFBAEE523}" name="КМД Организация" dataDxfId="9"/>
    <tableColumn id="11" xr3:uid="{6D6EF88C-183D-4F68-9CB1-B1E60AE638F0}" name="Марка стали" dataDxfId="8"/>
    <tableColumn id="13" xr3:uid="{A2B938FF-18C0-45CC-A31B-37C0109579FB}" name="ВИК Дата" dataDxfId="7">
      <calculatedColumnFormula>Таблица1[[#This Row],[Дата окончания ]]-7</calculatedColumnFormula>
    </tableColumn>
    <tableColumn id="19" xr3:uid="{37E24DDD-FEFD-448D-B3CA-281DCE3ADA66}" name="УЗК Дата" dataDxfId="6">
      <calculatedColumnFormula>Таблица1[[#This Row],[Дата окончания ]]-5</calculatedColumnFormula>
    </tableColumn>
    <tableColumn id="17" xr3:uid="{595B7FB1-6080-4D3E-A739-AF6A2E9BFF05}" name="Дата Акз" dataDxfId="5">
      <calculatedColumnFormula>Таблица1[[#This Row],[Дата окончания ]]-1</calculatedColumnFormula>
    </tableColumn>
    <tableColumn id="12" xr3:uid="{3789440D-B27B-4552-B9FB-2D9FB1768013}" name="Соединения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5429A24-85D8-4240-A0C5-C94C9322D7D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4483426-bf97-4b58-9aee-d9832d210438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E8EE6AB-2CA3-4CF9-A0DF-18A60AD41006}">
  <we:reference id="wa200010215" version="1.0.0.0" store="ru-RU" storeType="OMEX"/>
  <we:alternateReferences>
    <we:reference id="wa200010215" version="1.0.0.0" store="ru-RU" storeType="OMEX"/>
  </we:alternateReferences>
  <we:properties>
    <we:property name="bps.codex_control.document_id" value="&quot;34b71e77-fbb4-406b-a8af-c950c0fec7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D7BF-486C-4D3C-BEDD-1B73A5B8A315}">
  <sheetPr codeName="Лист1">
    <pageSetUpPr fitToPage="1"/>
  </sheetPr>
  <dimension ref="A1:Q401"/>
  <sheetViews>
    <sheetView tabSelected="1" view="pageBreakPreview" zoomScaleNormal="100" zoomScaleSheetLayoutView="100" workbookViewId="0">
      <pane ySplit="1" topLeftCell="A395" activePane="bottomLeft" state="frozen"/>
      <selection pane="bottomLeft" activeCell="A401" sqref="A401:XFD401"/>
    </sheetView>
  </sheetViews>
  <sheetFormatPr defaultColWidth="8.7265625" defaultRowHeight="15" x14ac:dyDescent="0.35"/>
  <cols>
    <col min="1" max="1" width="17.36328125" style="13" customWidth="1"/>
    <col min="2" max="2" width="15.453125" style="17" customWidth="1"/>
    <col min="3" max="3" width="30.54296875" style="13" customWidth="1"/>
    <col min="4" max="4" width="20.54296875" style="13" customWidth="1"/>
    <col min="5" max="5" width="49" style="13" customWidth="1"/>
    <col min="6" max="6" width="35.81640625" style="13" customWidth="1"/>
    <col min="7" max="7" width="17.08984375" style="20" customWidth="1"/>
    <col min="8" max="8" width="12.36328125" style="13" customWidth="1"/>
    <col min="9" max="9" width="14.90625" style="24" customWidth="1"/>
    <col min="10" max="10" width="59.90625" style="13" customWidth="1"/>
    <col min="11" max="11" width="31.54296875" style="13" customWidth="1"/>
    <col min="12" max="12" width="53.36328125" style="13" customWidth="1"/>
    <col min="13" max="13" width="15.36328125" style="24" bestFit="1" customWidth="1"/>
    <col min="14" max="14" width="15" style="32" bestFit="1" customWidth="1"/>
    <col min="15" max="15" width="24.453125" style="13" customWidth="1"/>
    <col min="16" max="16" width="39.1796875" style="13" customWidth="1"/>
    <col min="17" max="17" width="15" style="13" customWidth="1"/>
    <col min="18" max="18" width="13.36328125" style="13" customWidth="1"/>
    <col min="19" max="16384" width="8.7265625" style="13"/>
  </cols>
  <sheetData>
    <row r="1" spans="1:16" ht="30" x14ac:dyDescent="0.35">
      <c r="A1" s="13" t="s">
        <v>214</v>
      </c>
      <c r="B1" s="13" t="s">
        <v>82</v>
      </c>
      <c r="C1" s="13" t="s">
        <v>83</v>
      </c>
      <c r="D1" s="13" t="s">
        <v>84</v>
      </c>
      <c r="E1" s="13" t="s">
        <v>85</v>
      </c>
      <c r="F1" s="13" t="s">
        <v>91</v>
      </c>
      <c r="G1" s="19" t="s">
        <v>86</v>
      </c>
      <c r="H1" s="13" t="s">
        <v>87</v>
      </c>
      <c r="I1" s="24" t="s">
        <v>88</v>
      </c>
      <c r="J1" s="13" t="s">
        <v>89</v>
      </c>
      <c r="K1" s="13" t="s">
        <v>90</v>
      </c>
      <c r="L1" s="13" t="s">
        <v>92</v>
      </c>
      <c r="M1" s="24" t="s">
        <v>93</v>
      </c>
      <c r="N1" s="24" t="s">
        <v>94</v>
      </c>
      <c r="O1" s="13" t="s">
        <v>113</v>
      </c>
      <c r="P1" s="13" t="s">
        <v>300</v>
      </c>
    </row>
    <row r="2" spans="1:16" s="6" customFormat="1" ht="62" x14ac:dyDescent="0.35">
      <c r="A2" s="6" t="s">
        <v>192</v>
      </c>
      <c r="B2" s="14" t="s">
        <v>111</v>
      </c>
      <c r="C2" s="6" t="s">
        <v>193</v>
      </c>
      <c r="D2" s="27" t="s">
        <v>194</v>
      </c>
      <c r="E2" s="6" t="s">
        <v>198</v>
      </c>
      <c r="F2" s="6" t="s">
        <v>195</v>
      </c>
      <c r="G2" s="22">
        <v>47795.349999999977</v>
      </c>
      <c r="H2" s="15">
        <v>45667</v>
      </c>
      <c r="I2" s="18">
        <v>45846</v>
      </c>
      <c r="J2" s="6" t="s">
        <v>196</v>
      </c>
      <c r="K2" s="16" t="s">
        <v>110</v>
      </c>
      <c r="L2" s="6" t="s">
        <v>197</v>
      </c>
      <c r="M2" s="15">
        <f>Таблица1[[#This Row],[Дата окончания ]]-7</f>
        <v>45839</v>
      </c>
      <c r="N2" s="18">
        <f>Таблица1[[#This Row],[Дата окончания ]]-5</f>
        <v>45841</v>
      </c>
      <c r="O2" s="15">
        <f>Таблица1[[#This Row],[Дата окончания ]]-1</f>
        <v>45845</v>
      </c>
    </row>
    <row r="3" spans="1:16" s="6" customFormat="1" ht="62" x14ac:dyDescent="0.35">
      <c r="A3" s="6" t="s">
        <v>192</v>
      </c>
      <c r="B3" s="14" t="s">
        <v>121</v>
      </c>
      <c r="C3" s="6" t="s">
        <v>193</v>
      </c>
      <c r="D3" s="27" t="s">
        <v>194</v>
      </c>
      <c r="E3" s="6" t="s">
        <v>198</v>
      </c>
      <c r="F3" s="6" t="s">
        <v>199</v>
      </c>
      <c r="G3" s="22">
        <v>1555.0400000000002</v>
      </c>
      <c r="H3" s="15">
        <v>45667</v>
      </c>
      <c r="I3" s="18">
        <v>45846</v>
      </c>
      <c r="J3" s="6" t="s">
        <v>196</v>
      </c>
      <c r="K3" s="16" t="s">
        <v>110</v>
      </c>
      <c r="L3" s="6" t="s">
        <v>197</v>
      </c>
      <c r="M3" s="15">
        <f>Таблица1[[#This Row],[Дата окончания ]]-7</f>
        <v>45839</v>
      </c>
      <c r="N3" s="18">
        <f>Таблица1[[#This Row],[Дата окончания ]]-5</f>
        <v>45841</v>
      </c>
      <c r="O3" s="15">
        <f>Таблица1[[#This Row],[Дата окончания ]]-1</f>
        <v>45845</v>
      </c>
    </row>
    <row r="4" spans="1:16" s="6" customFormat="1" ht="62" x14ac:dyDescent="0.35">
      <c r="A4" s="6" t="s">
        <v>192</v>
      </c>
      <c r="B4" s="14" t="s">
        <v>95</v>
      </c>
      <c r="C4" s="6" t="s">
        <v>193</v>
      </c>
      <c r="D4" s="27" t="s">
        <v>194</v>
      </c>
      <c r="E4" s="6" t="s">
        <v>201</v>
      </c>
      <c r="F4" s="6" t="s">
        <v>200</v>
      </c>
      <c r="G4" s="22">
        <v>6910.7900000000009</v>
      </c>
      <c r="H4" s="15">
        <v>45667</v>
      </c>
      <c r="I4" s="18">
        <v>45846</v>
      </c>
      <c r="J4" s="6" t="s">
        <v>202</v>
      </c>
      <c r="K4" s="16" t="s">
        <v>110</v>
      </c>
      <c r="L4" s="6" t="s">
        <v>203</v>
      </c>
      <c r="M4" s="15">
        <f>Таблица1[[#This Row],[Дата окончания ]]-7</f>
        <v>45839</v>
      </c>
      <c r="N4" s="18">
        <f>Таблица1[[#This Row],[Дата окончания ]]-5</f>
        <v>45841</v>
      </c>
      <c r="O4" s="15">
        <f>Таблица1[[#This Row],[Дата окончания ]]-1</f>
        <v>45845</v>
      </c>
    </row>
    <row r="5" spans="1:16" s="6" customFormat="1" ht="77.5" x14ac:dyDescent="0.35">
      <c r="A5" s="6" t="s">
        <v>192</v>
      </c>
      <c r="B5" s="14" t="s">
        <v>103</v>
      </c>
      <c r="C5" s="6" t="s">
        <v>193</v>
      </c>
      <c r="D5" s="27" t="s">
        <v>194</v>
      </c>
      <c r="E5" s="6" t="s">
        <v>205</v>
      </c>
      <c r="F5" s="6" t="s">
        <v>204</v>
      </c>
      <c r="G5" s="22">
        <v>752.04</v>
      </c>
      <c r="H5" s="15">
        <v>45667</v>
      </c>
      <c r="I5" s="18">
        <v>45846</v>
      </c>
      <c r="J5" s="6" t="s">
        <v>206</v>
      </c>
      <c r="K5" s="16" t="s">
        <v>110</v>
      </c>
      <c r="L5" s="6" t="s">
        <v>207</v>
      </c>
      <c r="M5" s="15">
        <f>Таблица1[[#This Row],[Дата окончания ]]-7</f>
        <v>45839</v>
      </c>
      <c r="N5" s="18">
        <f>Таблица1[[#This Row],[Дата окончания ]]-5</f>
        <v>45841</v>
      </c>
      <c r="O5" s="15">
        <f>Таблица1[[#This Row],[Дата окончания ]]-1</f>
        <v>45845</v>
      </c>
    </row>
    <row r="6" spans="1:16" s="6" customFormat="1" ht="46.5" x14ac:dyDescent="0.35">
      <c r="A6" s="6" t="s">
        <v>192</v>
      </c>
      <c r="B6" s="14" t="s">
        <v>114</v>
      </c>
      <c r="C6" s="6" t="s">
        <v>193</v>
      </c>
      <c r="D6" s="27" t="s">
        <v>194</v>
      </c>
      <c r="E6" s="6" t="s">
        <v>210</v>
      </c>
      <c r="F6" s="6" t="s">
        <v>208</v>
      </c>
      <c r="G6" s="22">
        <v>8300.65</v>
      </c>
      <c r="H6" s="15">
        <v>45667</v>
      </c>
      <c r="I6" s="18">
        <v>45846</v>
      </c>
      <c r="J6" s="6" t="s">
        <v>206</v>
      </c>
      <c r="K6" s="16" t="s">
        <v>110</v>
      </c>
      <c r="L6" s="6" t="s">
        <v>209</v>
      </c>
      <c r="M6" s="15">
        <f>Таблица1[[#This Row],[Дата окончания ]]-7</f>
        <v>45839</v>
      </c>
      <c r="N6" s="18">
        <f>Таблица1[[#This Row],[Дата окончания ]]-5</f>
        <v>45841</v>
      </c>
      <c r="O6" s="15">
        <f>Таблица1[[#This Row],[Дата окончания ]]-1</f>
        <v>45845</v>
      </c>
    </row>
    <row r="7" spans="1:16" s="6" customFormat="1" ht="62" x14ac:dyDescent="0.35">
      <c r="A7" s="6" t="s">
        <v>192</v>
      </c>
      <c r="B7" s="14" t="s">
        <v>119</v>
      </c>
      <c r="C7" s="6" t="s">
        <v>193</v>
      </c>
      <c r="D7" s="27" t="s">
        <v>194</v>
      </c>
      <c r="E7" s="6" t="s">
        <v>201</v>
      </c>
      <c r="F7" s="6" t="s">
        <v>211</v>
      </c>
      <c r="G7" s="22">
        <v>28026.910000000018</v>
      </c>
      <c r="H7" s="15">
        <v>45667</v>
      </c>
      <c r="I7" s="18">
        <v>45846</v>
      </c>
      <c r="J7" s="6" t="s">
        <v>212</v>
      </c>
      <c r="K7" s="16" t="s">
        <v>110</v>
      </c>
      <c r="L7" s="6" t="s">
        <v>213</v>
      </c>
      <c r="M7" s="15">
        <f>Таблица1[[#This Row],[Дата окончания ]]-7</f>
        <v>45839</v>
      </c>
      <c r="N7" s="18">
        <f>Таблица1[[#This Row],[Дата окончания ]]-5</f>
        <v>45841</v>
      </c>
      <c r="O7" s="15">
        <f>Таблица1[[#This Row],[Дата окончания ]]-1</f>
        <v>45845</v>
      </c>
    </row>
    <row r="8" spans="1:16" ht="31" x14ac:dyDescent="0.35">
      <c r="A8" s="6" t="s">
        <v>217</v>
      </c>
      <c r="B8" s="14" t="s">
        <v>95</v>
      </c>
      <c r="C8" s="6" t="s">
        <v>96</v>
      </c>
      <c r="D8" s="6" t="s">
        <v>97</v>
      </c>
      <c r="E8" s="6" t="s">
        <v>98</v>
      </c>
      <c r="F8" s="6" t="s">
        <v>99</v>
      </c>
      <c r="G8" s="21">
        <v>19177.8</v>
      </c>
      <c r="H8" s="15">
        <v>45971</v>
      </c>
      <c r="I8" s="15">
        <v>46000</v>
      </c>
      <c r="J8" s="6" t="s">
        <v>100</v>
      </c>
      <c r="K8" s="6" t="s">
        <v>101</v>
      </c>
      <c r="L8" s="6" t="s">
        <v>102</v>
      </c>
      <c r="M8" s="15">
        <f>Таблица1[[#This Row],[Дата окончания ]]-7</f>
        <v>45993</v>
      </c>
      <c r="N8" s="18">
        <f>Таблица1[[#This Row],[Дата окончания ]]-5</f>
        <v>45995</v>
      </c>
      <c r="O8" s="15">
        <f>Таблица1[[#This Row],[Дата окончания ]]-1</f>
        <v>45999</v>
      </c>
      <c r="P8" s="6"/>
    </row>
    <row r="9" spans="1:16" ht="31" x14ac:dyDescent="0.35">
      <c r="A9" s="6" t="s">
        <v>217</v>
      </c>
      <c r="B9" s="14" t="s">
        <v>103</v>
      </c>
      <c r="C9" s="6" t="s">
        <v>96</v>
      </c>
      <c r="D9" s="6" t="s">
        <v>97</v>
      </c>
      <c r="E9" s="6" t="s">
        <v>98</v>
      </c>
      <c r="F9" s="6" t="s">
        <v>99</v>
      </c>
      <c r="G9" s="21">
        <v>18973.2</v>
      </c>
      <c r="H9" s="15">
        <v>45971</v>
      </c>
      <c r="I9" s="15">
        <v>46002</v>
      </c>
      <c r="J9" s="6" t="s">
        <v>100</v>
      </c>
      <c r="K9" s="6" t="s">
        <v>101</v>
      </c>
      <c r="L9" s="6" t="s">
        <v>102</v>
      </c>
      <c r="M9" s="15">
        <f>Таблица1[[#This Row],[Дата окончания ]]-7</f>
        <v>45995</v>
      </c>
      <c r="N9" s="18">
        <f>Таблица1[[#This Row],[Дата окончания ]]-5</f>
        <v>45997</v>
      </c>
      <c r="O9" s="15">
        <f>Таблица1[[#This Row],[Дата окончания ]]-1</f>
        <v>46001</v>
      </c>
      <c r="P9" s="6"/>
    </row>
    <row r="10" spans="1:16" ht="62" x14ac:dyDescent="0.35">
      <c r="A10" s="16" t="s">
        <v>104</v>
      </c>
      <c r="B10" s="14" t="s">
        <v>111</v>
      </c>
      <c r="C10" s="6" t="s">
        <v>105</v>
      </c>
      <c r="D10" s="6" t="s">
        <v>106</v>
      </c>
      <c r="E10" s="6" t="s">
        <v>112</v>
      </c>
      <c r="F10" s="6" t="s">
        <v>107</v>
      </c>
      <c r="G10" s="6">
        <v>11767.22</v>
      </c>
      <c r="H10" s="15">
        <v>45994</v>
      </c>
      <c r="I10" s="15">
        <v>46003</v>
      </c>
      <c r="J10" s="6" t="s">
        <v>108</v>
      </c>
      <c r="K10" s="6" t="s">
        <v>110</v>
      </c>
      <c r="L10" s="6" t="s">
        <v>109</v>
      </c>
      <c r="M10" s="15">
        <f>Таблица1[[#This Row],[Дата окончания ]]-7</f>
        <v>45996</v>
      </c>
      <c r="N10" s="18">
        <f>Таблица1[[#This Row],[Дата окончания ]]-5</f>
        <v>45998</v>
      </c>
      <c r="O10" s="15">
        <f>Таблица1[[#This Row],[Дата окончания ]]-1</f>
        <v>46002</v>
      </c>
      <c r="P10" s="6"/>
    </row>
    <row r="11" spans="1:16" ht="31" x14ac:dyDescent="0.35">
      <c r="A11" s="6" t="s">
        <v>217</v>
      </c>
      <c r="B11" s="14" t="s">
        <v>114</v>
      </c>
      <c r="C11" s="6" t="s">
        <v>96</v>
      </c>
      <c r="D11" s="6" t="s">
        <v>97</v>
      </c>
      <c r="E11" s="6" t="s">
        <v>98</v>
      </c>
      <c r="F11" s="6" t="s">
        <v>99</v>
      </c>
      <c r="G11" s="21">
        <v>15892.2</v>
      </c>
      <c r="H11" s="15">
        <v>45971</v>
      </c>
      <c r="I11" s="15">
        <v>46003</v>
      </c>
      <c r="J11" s="6" t="s">
        <v>100</v>
      </c>
      <c r="K11" s="6" t="s">
        <v>101</v>
      </c>
      <c r="L11" s="6" t="s">
        <v>102</v>
      </c>
      <c r="M11" s="15">
        <f>Таблица1[[#This Row],[Дата окончания ]]-7</f>
        <v>45996</v>
      </c>
      <c r="N11" s="18">
        <f>Таблица1[[#This Row],[Дата окончания ]]-5</f>
        <v>45998</v>
      </c>
      <c r="O11" s="15">
        <f>Таблица1[[#This Row],[Дата окончания ]]-1</f>
        <v>46002</v>
      </c>
      <c r="P11" s="6"/>
    </row>
    <row r="12" spans="1:16" ht="31" x14ac:dyDescent="0.35">
      <c r="A12" s="6" t="s">
        <v>217</v>
      </c>
      <c r="B12" s="14" t="s">
        <v>119</v>
      </c>
      <c r="C12" s="6" t="s">
        <v>96</v>
      </c>
      <c r="D12" s="6" t="s">
        <v>97</v>
      </c>
      <c r="E12" s="6" t="s">
        <v>98</v>
      </c>
      <c r="F12" s="6" t="s">
        <v>99</v>
      </c>
      <c r="G12" s="21">
        <v>19763.2</v>
      </c>
      <c r="H12" s="15">
        <v>45971</v>
      </c>
      <c r="I12" s="15">
        <v>46006</v>
      </c>
      <c r="J12" s="6" t="s">
        <v>100</v>
      </c>
      <c r="K12" s="6" t="s">
        <v>101</v>
      </c>
      <c r="L12" s="6" t="s">
        <v>102</v>
      </c>
      <c r="M12" s="15">
        <f>Таблица1[[#This Row],[Дата окончания ]]-7</f>
        <v>45999</v>
      </c>
      <c r="N12" s="18">
        <f>Таблица1[[#This Row],[Дата окончания ]]-5</f>
        <v>46001</v>
      </c>
      <c r="O12" s="15">
        <f>Таблица1[[#This Row],[Дата окончания ]]-1</f>
        <v>46005</v>
      </c>
      <c r="P12" s="6"/>
    </row>
    <row r="13" spans="1:16" ht="31" x14ac:dyDescent="0.35">
      <c r="A13" s="6" t="s">
        <v>217</v>
      </c>
      <c r="B13" s="14" t="s">
        <v>120</v>
      </c>
      <c r="C13" s="6" t="s">
        <v>96</v>
      </c>
      <c r="D13" s="6" t="s">
        <v>97</v>
      </c>
      <c r="E13" s="6" t="s">
        <v>98</v>
      </c>
      <c r="F13" s="6" t="s">
        <v>99</v>
      </c>
      <c r="G13" s="21">
        <v>19516.2</v>
      </c>
      <c r="H13" s="15">
        <v>45971</v>
      </c>
      <c r="I13" s="15">
        <v>46007</v>
      </c>
      <c r="J13" s="6" t="s">
        <v>100</v>
      </c>
      <c r="K13" s="6" t="s">
        <v>101</v>
      </c>
      <c r="L13" s="6" t="s">
        <v>102</v>
      </c>
      <c r="M13" s="15">
        <f>Таблица1[[#This Row],[Дата окончания ]]-7</f>
        <v>46000</v>
      </c>
      <c r="N13" s="18">
        <f>Таблица1[[#This Row],[Дата окончания ]]-5</f>
        <v>46002</v>
      </c>
      <c r="O13" s="15">
        <f>Таблица1[[#This Row],[Дата окончания ]]-1</f>
        <v>46006</v>
      </c>
      <c r="P13" s="6"/>
    </row>
    <row r="14" spans="1:16" ht="62" x14ac:dyDescent="0.35">
      <c r="A14" s="16" t="s">
        <v>104</v>
      </c>
      <c r="B14" s="14" t="s">
        <v>121</v>
      </c>
      <c r="C14" s="6" t="s">
        <v>105</v>
      </c>
      <c r="D14" s="6" t="s">
        <v>106</v>
      </c>
      <c r="E14" s="6" t="s">
        <v>112</v>
      </c>
      <c r="F14" s="6" t="s">
        <v>107</v>
      </c>
      <c r="G14" s="6">
        <v>13466.47</v>
      </c>
      <c r="H14" s="15">
        <v>45994</v>
      </c>
      <c r="I14" s="15">
        <v>46007</v>
      </c>
      <c r="J14" s="6" t="s">
        <v>108</v>
      </c>
      <c r="K14" s="6" t="s">
        <v>110</v>
      </c>
      <c r="L14" s="6" t="s">
        <v>109</v>
      </c>
      <c r="M14" s="15">
        <f>Таблица1[[#This Row],[Дата окончания ]]-7</f>
        <v>46000</v>
      </c>
      <c r="N14" s="18">
        <f>Таблица1[[#This Row],[Дата окончания ]]-5</f>
        <v>46002</v>
      </c>
      <c r="O14" s="15">
        <f>Таблица1[[#This Row],[Дата окончания ]]-1</f>
        <v>46006</v>
      </c>
      <c r="P14" s="6"/>
    </row>
    <row r="15" spans="1:16" ht="31" x14ac:dyDescent="0.35">
      <c r="A15" s="6" t="s">
        <v>217</v>
      </c>
      <c r="B15" s="14" t="s">
        <v>122</v>
      </c>
      <c r="C15" s="6" t="s">
        <v>96</v>
      </c>
      <c r="D15" s="6" t="s">
        <v>97</v>
      </c>
      <c r="E15" s="6" t="s">
        <v>98</v>
      </c>
      <c r="F15" s="6" t="s">
        <v>99</v>
      </c>
      <c r="G15" s="21">
        <v>17314</v>
      </c>
      <c r="H15" s="15">
        <v>45971</v>
      </c>
      <c r="I15" s="15">
        <v>46009</v>
      </c>
      <c r="J15" s="6" t="s">
        <v>100</v>
      </c>
      <c r="K15" s="6" t="s">
        <v>101</v>
      </c>
      <c r="L15" s="6" t="s">
        <v>102</v>
      </c>
      <c r="M15" s="15">
        <f>Таблица1[[#This Row],[Дата окончания ]]-7</f>
        <v>46002</v>
      </c>
      <c r="N15" s="18">
        <f>Таблица1[[#This Row],[Дата окончания ]]-5</f>
        <v>46004</v>
      </c>
      <c r="O15" s="15">
        <f>Таблица1[[#This Row],[Дата окончания ]]-1</f>
        <v>46008</v>
      </c>
      <c r="P15" s="6"/>
    </row>
    <row r="16" spans="1:16" ht="31" x14ac:dyDescent="0.35">
      <c r="A16" s="6" t="s">
        <v>217</v>
      </c>
      <c r="B16" s="14" t="s">
        <v>123</v>
      </c>
      <c r="C16" s="6" t="s">
        <v>96</v>
      </c>
      <c r="D16" s="6" t="s">
        <v>97</v>
      </c>
      <c r="E16" s="6" t="s">
        <v>98</v>
      </c>
      <c r="F16" s="6" t="s">
        <v>99</v>
      </c>
      <c r="G16" s="21">
        <v>20486</v>
      </c>
      <c r="H16" s="15">
        <v>45971</v>
      </c>
      <c r="I16" s="15">
        <v>46009</v>
      </c>
      <c r="J16" s="6" t="s">
        <v>100</v>
      </c>
      <c r="K16" s="6" t="s">
        <v>101</v>
      </c>
      <c r="L16" s="6" t="s">
        <v>102</v>
      </c>
      <c r="M16" s="15">
        <f>Таблица1[[#This Row],[Дата окончания ]]-7</f>
        <v>46002</v>
      </c>
      <c r="N16" s="18">
        <f>Таблица1[[#This Row],[Дата окончания ]]-5</f>
        <v>46004</v>
      </c>
      <c r="O16" s="15">
        <f>Таблица1[[#This Row],[Дата окончания ]]-1</f>
        <v>46008</v>
      </c>
      <c r="P16" s="6"/>
    </row>
    <row r="17" spans="1:17" ht="31" x14ac:dyDescent="0.35">
      <c r="A17" s="6" t="s">
        <v>217</v>
      </c>
      <c r="B17" s="14" t="s">
        <v>124</v>
      </c>
      <c r="C17" s="6" t="s">
        <v>96</v>
      </c>
      <c r="D17" s="6" t="s">
        <v>97</v>
      </c>
      <c r="E17" s="6" t="s">
        <v>98</v>
      </c>
      <c r="F17" s="6" t="s">
        <v>99</v>
      </c>
      <c r="G17" s="21">
        <v>16824.599999999999</v>
      </c>
      <c r="H17" s="15">
        <v>45971</v>
      </c>
      <c r="I17" s="15">
        <v>46010</v>
      </c>
      <c r="J17" s="6" t="s">
        <v>125</v>
      </c>
      <c r="K17" s="6" t="s">
        <v>101</v>
      </c>
      <c r="L17" s="6" t="s">
        <v>102</v>
      </c>
      <c r="M17" s="15">
        <f>Таблица1[[#This Row],[Дата окончания ]]-7</f>
        <v>46003</v>
      </c>
      <c r="N17" s="18">
        <f>Таблица1[[#This Row],[Дата окончания ]]-5</f>
        <v>46005</v>
      </c>
      <c r="O17" s="15">
        <f>Таблица1[[#This Row],[Дата окончания ]]-1</f>
        <v>46009</v>
      </c>
      <c r="P17" s="6"/>
    </row>
    <row r="18" spans="1:17" ht="108.5" x14ac:dyDescent="0.35">
      <c r="A18" s="6" t="s">
        <v>126</v>
      </c>
      <c r="B18" s="14" t="s">
        <v>127</v>
      </c>
      <c r="C18" s="6" t="s">
        <v>128</v>
      </c>
      <c r="D18" s="6" t="s">
        <v>129</v>
      </c>
      <c r="E18" s="6" t="s">
        <v>130</v>
      </c>
      <c r="F18" s="6" t="s">
        <v>131</v>
      </c>
      <c r="G18" s="6">
        <v>14191.66</v>
      </c>
      <c r="H18" s="15">
        <v>45940</v>
      </c>
      <c r="I18" s="15">
        <v>46013</v>
      </c>
      <c r="J18" s="6" t="s">
        <v>132</v>
      </c>
      <c r="K18" s="6" t="s">
        <v>110</v>
      </c>
      <c r="L18" s="6" t="s">
        <v>133</v>
      </c>
      <c r="M18" s="15">
        <f>Таблица1[[#This Row],[Дата окончания ]]-7</f>
        <v>46006</v>
      </c>
      <c r="N18" s="18">
        <f>Таблица1[[#This Row],[Дата окончания ]]-5</f>
        <v>46008</v>
      </c>
      <c r="O18" s="15">
        <f>Таблица1[[#This Row],[Дата окончания ]]-1</f>
        <v>46012</v>
      </c>
      <c r="P18" s="6"/>
    </row>
    <row r="19" spans="1:17" ht="31" x14ac:dyDescent="0.35">
      <c r="A19" s="6" t="s">
        <v>217</v>
      </c>
      <c r="B19" s="14" t="s">
        <v>134</v>
      </c>
      <c r="C19" s="6" t="s">
        <v>96</v>
      </c>
      <c r="D19" s="6" t="s">
        <v>97</v>
      </c>
      <c r="E19" s="6" t="s">
        <v>98</v>
      </c>
      <c r="F19" s="6" t="s">
        <v>99</v>
      </c>
      <c r="G19" s="21">
        <v>17391.899999999998</v>
      </c>
      <c r="H19" s="15">
        <v>45971</v>
      </c>
      <c r="I19" s="15">
        <v>46014</v>
      </c>
      <c r="J19" s="6" t="s">
        <v>125</v>
      </c>
      <c r="K19" s="6" t="s">
        <v>101</v>
      </c>
      <c r="L19" s="6" t="s">
        <v>102</v>
      </c>
      <c r="M19" s="15">
        <f>Таблица1[[#This Row],[Дата окончания ]]-7</f>
        <v>46007</v>
      </c>
      <c r="N19" s="18">
        <f>Таблица1[[#This Row],[Дата окончания ]]-5</f>
        <v>46009</v>
      </c>
      <c r="O19" s="15">
        <f>Таблица1[[#This Row],[Дата окончания ]]-1</f>
        <v>46013</v>
      </c>
      <c r="P19" s="6"/>
    </row>
    <row r="20" spans="1:17" ht="62" x14ac:dyDescent="0.35">
      <c r="A20" s="16" t="s">
        <v>104</v>
      </c>
      <c r="B20" s="14" t="s">
        <v>95</v>
      </c>
      <c r="C20" s="6" t="s">
        <v>105</v>
      </c>
      <c r="D20" s="6" t="s">
        <v>106</v>
      </c>
      <c r="E20" s="6" t="s">
        <v>112</v>
      </c>
      <c r="F20" s="6" t="s">
        <v>107</v>
      </c>
      <c r="G20" s="6">
        <v>18098.62</v>
      </c>
      <c r="H20" s="15">
        <v>45994</v>
      </c>
      <c r="I20" s="15">
        <v>46014</v>
      </c>
      <c r="J20" s="6" t="s">
        <v>108</v>
      </c>
      <c r="K20" s="6" t="s">
        <v>110</v>
      </c>
      <c r="L20" s="6" t="s">
        <v>109</v>
      </c>
      <c r="M20" s="15">
        <f>Таблица1[[#This Row],[Дата окончания ]]-7</f>
        <v>46007</v>
      </c>
      <c r="N20" s="18">
        <f>Таблица1[[#This Row],[Дата окончания ]]-5</f>
        <v>46009</v>
      </c>
      <c r="O20" s="15">
        <f>Таблица1[[#This Row],[Дата окончания ]]-1</f>
        <v>46013</v>
      </c>
      <c r="P20" s="6"/>
    </row>
    <row r="21" spans="1:17" ht="108.5" x14ac:dyDescent="0.35">
      <c r="A21" s="6" t="s">
        <v>126</v>
      </c>
      <c r="B21" s="14" t="s">
        <v>135</v>
      </c>
      <c r="C21" s="6" t="s">
        <v>128</v>
      </c>
      <c r="D21" s="6" t="s">
        <v>129</v>
      </c>
      <c r="E21" s="6" t="s">
        <v>130</v>
      </c>
      <c r="F21" s="6" t="s">
        <v>131</v>
      </c>
      <c r="G21" s="6">
        <v>15809.57</v>
      </c>
      <c r="H21" s="15">
        <v>45940</v>
      </c>
      <c r="I21" s="15">
        <v>46014</v>
      </c>
      <c r="J21" s="6" t="s">
        <v>132</v>
      </c>
      <c r="K21" s="6" t="s">
        <v>110</v>
      </c>
      <c r="L21" s="6" t="s">
        <v>133</v>
      </c>
      <c r="M21" s="15">
        <f>Таблица1[[#This Row],[Дата окончания ]]-7</f>
        <v>46007</v>
      </c>
      <c r="N21" s="18">
        <f>Таблица1[[#This Row],[Дата окончания ]]-5</f>
        <v>46009</v>
      </c>
      <c r="O21" s="15">
        <f>Таблица1[[#This Row],[Дата окончания ]]-1</f>
        <v>46013</v>
      </c>
      <c r="P21" s="6"/>
    </row>
    <row r="22" spans="1:17" ht="62" x14ac:dyDescent="0.35">
      <c r="A22" s="16" t="s">
        <v>104</v>
      </c>
      <c r="B22" s="14" t="s">
        <v>103</v>
      </c>
      <c r="C22" s="6" t="s">
        <v>105</v>
      </c>
      <c r="D22" s="6" t="s">
        <v>106</v>
      </c>
      <c r="E22" s="6" t="s">
        <v>112</v>
      </c>
      <c r="F22" s="6" t="s">
        <v>107</v>
      </c>
      <c r="G22" s="6">
        <v>18609.09</v>
      </c>
      <c r="H22" s="15">
        <v>45994</v>
      </c>
      <c r="I22" s="15">
        <v>46016</v>
      </c>
      <c r="J22" s="6" t="s">
        <v>108</v>
      </c>
      <c r="K22" s="6" t="s">
        <v>110</v>
      </c>
      <c r="L22" s="6" t="s">
        <v>109</v>
      </c>
      <c r="M22" s="15">
        <f>Таблица1[[#This Row],[Дата окончания ]]-7</f>
        <v>46009</v>
      </c>
      <c r="N22" s="18">
        <f>Таблица1[[#This Row],[Дата окончания ]]-5</f>
        <v>46011</v>
      </c>
      <c r="O22" s="15">
        <f>Таблица1[[#This Row],[Дата окончания ]]-1</f>
        <v>46015</v>
      </c>
      <c r="P22" s="6"/>
    </row>
    <row r="23" spans="1:17" s="24" customFormat="1" ht="31" x14ac:dyDescent="0.35">
      <c r="A23" s="16" t="s">
        <v>217</v>
      </c>
      <c r="B23" s="14" t="s">
        <v>137</v>
      </c>
      <c r="C23" s="6" t="s">
        <v>96</v>
      </c>
      <c r="D23" s="6" t="s">
        <v>97</v>
      </c>
      <c r="E23" s="6" t="s">
        <v>98</v>
      </c>
      <c r="F23" s="6" t="s">
        <v>99</v>
      </c>
      <c r="G23" s="21">
        <v>20365.8</v>
      </c>
      <c r="H23" s="15">
        <v>45971</v>
      </c>
      <c r="I23" s="15">
        <v>46016</v>
      </c>
      <c r="J23" s="6" t="s">
        <v>125</v>
      </c>
      <c r="K23" s="6" t="s">
        <v>101</v>
      </c>
      <c r="L23" s="6" t="s">
        <v>102</v>
      </c>
      <c r="M23" s="15">
        <f>Таблица1[[#This Row],[Дата окончания ]]-7</f>
        <v>46009</v>
      </c>
      <c r="N23" s="18">
        <f>Таблица1[[#This Row],[Дата окончания ]]-5</f>
        <v>46011</v>
      </c>
      <c r="O23" s="15">
        <f>Таблица1[[#This Row],[Дата окончания ]]-1</f>
        <v>46015</v>
      </c>
      <c r="P23" s="16"/>
    </row>
    <row r="24" spans="1:17" ht="31" x14ac:dyDescent="0.35">
      <c r="A24" s="16" t="s">
        <v>217</v>
      </c>
      <c r="B24" s="14" t="s">
        <v>138</v>
      </c>
      <c r="C24" s="6" t="s">
        <v>96</v>
      </c>
      <c r="D24" s="6" t="s">
        <v>97</v>
      </c>
      <c r="E24" s="6" t="s">
        <v>98</v>
      </c>
      <c r="F24" s="6" t="s">
        <v>99</v>
      </c>
      <c r="G24" s="21">
        <v>17387.7</v>
      </c>
      <c r="H24" s="15">
        <v>45971</v>
      </c>
      <c r="I24" s="15">
        <v>46017</v>
      </c>
      <c r="J24" s="6" t="s">
        <v>125</v>
      </c>
      <c r="K24" s="6" t="s">
        <v>101</v>
      </c>
      <c r="L24" s="6" t="s">
        <v>102</v>
      </c>
      <c r="M24" s="15">
        <f>Таблица1[[#This Row],[Дата окончания ]]-7</f>
        <v>46010</v>
      </c>
      <c r="N24" s="18">
        <f>Таблица1[[#This Row],[Дата окончания ]]-5</f>
        <v>46012</v>
      </c>
      <c r="O24" s="15">
        <f>Таблица1[[#This Row],[Дата окончания ]]-1</f>
        <v>46016</v>
      </c>
      <c r="P24" s="6"/>
    </row>
    <row r="25" spans="1:17" ht="108.5" x14ac:dyDescent="0.35">
      <c r="A25" s="16" t="s">
        <v>126</v>
      </c>
      <c r="B25" s="14" t="s">
        <v>136</v>
      </c>
      <c r="C25" s="6" t="s">
        <v>128</v>
      </c>
      <c r="D25" s="6" t="s">
        <v>129</v>
      </c>
      <c r="E25" s="6" t="s">
        <v>130</v>
      </c>
      <c r="F25" s="6" t="s">
        <v>131</v>
      </c>
      <c r="G25" s="6">
        <v>10590.02</v>
      </c>
      <c r="H25" s="15">
        <v>45940</v>
      </c>
      <c r="I25" s="15">
        <v>46017</v>
      </c>
      <c r="J25" s="6" t="s">
        <v>132</v>
      </c>
      <c r="K25" s="6" t="s">
        <v>110</v>
      </c>
      <c r="L25" s="6" t="s">
        <v>133</v>
      </c>
      <c r="M25" s="15">
        <f>Таблица1[[#This Row],[Дата окончания ]]-7</f>
        <v>46010</v>
      </c>
      <c r="N25" s="18">
        <f>Таблица1[[#This Row],[Дата окончания ]]-5</f>
        <v>46012</v>
      </c>
      <c r="O25" s="15">
        <f>Таблица1[[#This Row],[Дата окончания ]]-1</f>
        <v>46016</v>
      </c>
      <c r="P25" s="6"/>
    </row>
    <row r="26" spans="1:17" ht="62" x14ac:dyDescent="0.35">
      <c r="A26" s="16" t="s">
        <v>104</v>
      </c>
      <c r="B26" s="14" t="s">
        <v>114</v>
      </c>
      <c r="C26" s="6" t="s">
        <v>105</v>
      </c>
      <c r="D26" s="6" t="s">
        <v>106</v>
      </c>
      <c r="E26" s="6" t="s">
        <v>112</v>
      </c>
      <c r="F26" s="6" t="s">
        <v>107</v>
      </c>
      <c r="G26" s="6">
        <v>18036.52</v>
      </c>
      <c r="H26" s="15">
        <v>45994</v>
      </c>
      <c r="I26" s="15">
        <v>46028</v>
      </c>
      <c r="J26" s="6" t="s">
        <v>108</v>
      </c>
      <c r="K26" s="6" t="s">
        <v>110</v>
      </c>
      <c r="L26" s="6" t="s">
        <v>109</v>
      </c>
      <c r="M26" s="15">
        <f>Таблица1[[#This Row],[Дата окончания ]]-7</f>
        <v>46021</v>
      </c>
      <c r="N26" s="18">
        <f>Таблица1[[#This Row],[Дата окончания ]]-5</f>
        <v>46023</v>
      </c>
      <c r="O26" s="15">
        <f>Таблица1[[#This Row],[Дата окончания ]]-1</f>
        <v>46027</v>
      </c>
      <c r="P26" s="6"/>
    </row>
    <row r="27" spans="1:17" ht="31" x14ac:dyDescent="0.35">
      <c r="A27" s="16" t="s">
        <v>217</v>
      </c>
      <c r="B27" s="14" t="s">
        <v>140</v>
      </c>
      <c r="C27" s="6" t="s">
        <v>96</v>
      </c>
      <c r="D27" s="6" t="s">
        <v>97</v>
      </c>
      <c r="E27" s="6" t="s">
        <v>98</v>
      </c>
      <c r="F27" s="6" t="s">
        <v>99</v>
      </c>
      <c r="G27" s="21">
        <v>17098.8</v>
      </c>
      <c r="H27" s="15">
        <v>45971</v>
      </c>
      <c r="I27" s="15">
        <v>46028</v>
      </c>
      <c r="J27" s="6" t="s">
        <v>125</v>
      </c>
      <c r="K27" s="6" t="s">
        <v>101</v>
      </c>
      <c r="L27" s="6" t="s">
        <v>102</v>
      </c>
      <c r="M27" s="15">
        <f>Таблица1[[#This Row],[Дата окончания ]]-7</f>
        <v>46021</v>
      </c>
      <c r="N27" s="18">
        <f>Таблица1[[#This Row],[Дата окончания ]]-5</f>
        <v>46023</v>
      </c>
      <c r="O27" s="15">
        <f>Таблица1[[#This Row],[Дата окончания ]]-1</f>
        <v>46027</v>
      </c>
      <c r="P27" s="6"/>
      <c r="Q27" s="13" t="s">
        <v>154</v>
      </c>
    </row>
    <row r="28" spans="1:17" ht="31" x14ac:dyDescent="0.35">
      <c r="A28" s="16" t="s">
        <v>217</v>
      </c>
      <c r="B28" s="23" t="s">
        <v>141</v>
      </c>
      <c r="C28" s="16" t="s">
        <v>96</v>
      </c>
      <c r="D28" s="16" t="s">
        <v>97</v>
      </c>
      <c r="E28" s="16" t="s">
        <v>98</v>
      </c>
      <c r="F28" s="16" t="s">
        <v>99</v>
      </c>
      <c r="G28" s="21">
        <v>16658.400000000001</v>
      </c>
      <c r="H28" s="18">
        <v>45971</v>
      </c>
      <c r="I28" s="18">
        <v>46031</v>
      </c>
      <c r="J28" s="16" t="s">
        <v>125</v>
      </c>
      <c r="K28" s="16" t="s">
        <v>101</v>
      </c>
      <c r="L28" s="16" t="s">
        <v>102</v>
      </c>
      <c r="M28" s="15">
        <f>Таблица1[[#This Row],[Дата окончания ]]-7</f>
        <v>46024</v>
      </c>
      <c r="N28" s="18">
        <f>Таблица1[[#This Row],[Дата окончания ]]-5</f>
        <v>46026</v>
      </c>
      <c r="O28" s="18">
        <f>Таблица1[[#This Row],[Дата окончания ]]-1</f>
        <v>46030</v>
      </c>
      <c r="P28" s="6"/>
    </row>
    <row r="29" spans="1:17" ht="62" x14ac:dyDescent="0.35">
      <c r="A29" s="16" t="s">
        <v>104</v>
      </c>
      <c r="B29" s="14" t="s">
        <v>142</v>
      </c>
      <c r="C29" s="6" t="s">
        <v>105</v>
      </c>
      <c r="D29" s="6" t="s">
        <v>106</v>
      </c>
      <c r="E29" s="6" t="s">
        <v>112</v>
      </c>
      <c r="F29" s="6" t="s">
        <v>107</v>
      </c>
      <c r="G29" s="6">
        <v>17712.25</v>
      </c>
      <c r="H29" s="15">
        <v>45994</v>
      </c>
      <c r="I29" s="15">
        <v>46031</v>
      </c>
      <c r="J29" s="6" t="s">
        <v>108</v>
      </c>
      <c r="K29" s="6" t="s">
        <v>110</v>
      </c>
      <c r="L29" s="6" t="s">
        <v>109</v>
      </c>
      <c r="M29" s="15">
        <f>Таблица1[[#This Row],[Дата окончания ]]-7</f>
        <v>46024</v>
      </c>
      <c r="N29" s="18">
        <f>Таблица1[[#This Row],[Дата окончания ]]-5</f>
        <v>46026</v>
      </c>
      <c r="O29" s="15">
        <f>Таблица1[[#This Row],[Дата окончания ]]-1</f>
        <v>46030</v>
      </c>
      <c r="P29" s="6"/>
      <c r="Q29" s="13" t="s">
        <v>155</v>
      </c>
    </row>
    <row r="30" spans="1:17" ht="31" x14ac:dyDescent="0.35">
      <c r="A30" s="16" t="s">
        <v>217</v>
      </c>
      <c r="B30" s="23" t="s">
        <v>143</v>
      </c>
      <c r="C30" s="16" t="s">
        <v>96</v>
      </c>
      <c r="D30" s="16" t="s">
        <v>97</v>
      </c>
      <c r="E30" s="16" t="s">
        <v>98</v>
      </c>
      <c r="F30" s="16" t="s">
        <v>99</v>
      </c>
      <c r="G30" s="21">
        <v>9734.5</v>
      </c>
      <c r="H30" s="18">
        <v>45971</v>
      </c>
      <c r="I30" s="15">
        <v>46034</v>
      </c>
      <c r="J30" s="16" t="s">
        <v>125</v>
      </c>
      <c r="K30" s="16" t="s">
        <v>101</v>
      </c>
      <c r="L30" s="16" t="s">
        <v>102</v>
      </c>
      <c r="M30" s="15">
        <f>Таблица1[[#This Row],[Дата окончания ]]-7</f>
        <v>46027</v>
      </c>
      <c r="N30" s="18">
        <f>Таблица1[[#This Row],[Дата окончания ]]-5</f>
        <v>46029</v>
      </c>
      <c r="O30" s="15">
        <f>Таблица1[[#This Row],[Дата окончания ]]-1</f>
        <v>46033</v>
      </c>
      <c r="P30" s="6"/>
    </row>
    <row r="31" spans="1:17" ht="93" x14ac:dyDescent="0.35">
      <c r="A31" s="16" t="s">
        <v>178</v>
      </c>
      <c r="B31" s="14" t="s">
        <v>179</v>
      </c>
      <c r="C31" s="6" t="s">
        <v>180</v>
      </c>
      <c r="D31" s="6" t="s">
        <v>181</v>
      </c>
      <c r="E31" s="6" t="s">
        <v>182</v>
      </c>
      <c r="F31" s="6" t="s">
        <v>183</v>
      </c>
      <c r="G31" s="22">
        <v>8501.91</v>
      </c>
      <c r="H31" s="15">
        <v>46032</v>
      </c>
      <c r="I31" s="15">
        <v>46035</v>
      </c>
      <c r="J31" s="6" t="s">
        <v>184</v>
      </c>
      <c r="K31" s="16" t="s">
        <v>110</v>
      </c>
      <c r="L31" s="6" t="s">
        <v>185</v>
      </c>
      <c r="M31" s="15">
        <f>Таблица1[[#This Row],[Дата окончания ]]-7</f>
        <v>46028</v>
      </c>
      <c r="N31" s="18">
        <f>Таблица1[[#This Row],[Дата окончания ]]-5</f>
        <v>46030</v>
      </c>
      <c r="O31" s="15">
        <f>Таблица1[[#This Row],[Дата окончания ]]-1</f>
        <v>46034</v>
      </c>
      <c r="P31" s="6"/>
    </row>
    <row r="32" spans="1:17" ht="31" x14ac:dyDescent="0.35">
      <c r="A32" s="16" t="s">
        <v>217</v>
      </c>
      <c r="B32" s="14" t="s">
        <v>144</v>
      </c>
      <c r="C32" s="16" t="s">
        <v>96</v>
      </c>
      <c r="D32" s="16" t="s">
        <v>97</v>
      </c>
      <c r="E32" s="16" t="s">
        <v>98</v>
      </c>
      <c r="F32" s="16" t="s">
        <v>99</v>
      </c>
      <c r="G32" s="21">
        <v>10187.4</v>
      </c>
      <c r="H32" s="18">
        <v>45971</v>
      </c>
      <c r="I32" s="15">
        <v>46036</v>
      </c>
      <c r="J32" s="16" t="s">
        <v>125</v>
      </c>
      <c r="K32" s="16" t="s">
        <v>101</v>
      </c>
      <c r="L32" s="16" t="s">
        <v>102</v>
      </c>
      <c r="M32" s="15">
        <f>Таблица1[[#This Row],[Дата окончания ]]-7</f>
        <v>46029</v>
      </c>
      <c r="N32" s="18">
        <f>Таблица1[[#This Row],[Дата окончания ]]-5</f>
        <v>46031</v>
      </c>
      <c r="O32" s="15">
        <f>Таблица1[[#This Row],[Дата окончания ]]-1</f>
        <v>46035</v>
      </c>
      <c r="P32" s="6"/>
    </row>
    <row r="33" spans="1:16" ht="62" x14ac:dyDescent="0.35">
      <c r="A33" s="6" t="s">
        <v>290</v>
      </c>
      <c r="B33" s="14" t="s">
        <v>148</v>
      </c>
      <c r="C33" s="6" t="s">
        <v>147</v>
      </c>
      <c r="D33" s="6" t="s">
        <v>145</v>
      </c>
      <c r="E33" s="6" t="s">
        <v>146</v>
      </c>
      <c r="F33" s="6" t="s">
        <v>149</v>
      </c>
      <c r="G33" s="6">
        <v>19181.060000000001</v>
      </c>
      <c r="H33" s="15">
        <v>45932</v>
      </c>
      <c r="I33" s="15">
        <v>46036</v>
      </c>
      <c r="J33" s="6" t="s">
        <v>150</v>
      </c>
      <c r="K33" s="6" t="s">
        <v>110</v>
      </c>
      <c r="L33" s="6" t="s">
        <v>151</v>
      </c>
      <c r="M33" s="15">
        <f>Таблица1[[#This Row],[Дата окончания ]]-7</f>
        <v>46029</v>
      </c>
      <c r="N33" s="18">
        <f>Таблица1[[#This Row],[Дата окончания ]]-5</f>
        <v>46031</v>
      </c>
      <c r="O33" s="15">
        <f>Таблица1[[#This Row],[Дата окончания ]]-1</f>
        <v>46035</v>
      </c>
      <c r="P33" s="6"/>
    </row>
    <row r="34" spans="1:16" ht="62" x14ac:dyDescent="0.35">
      <c r="A34" s="16" t="s">
        <v>104</v>
      </c>
      <c r="B34" s="14" t="s">
        <v>152</v>
      </c>
      <c r="C34" s="6" t="s">
        <v>105</v>
      </c>
      <c r="D34" s="6" t="s">
        <v>106</v>
      </c>
      <c r="E34" s="6" t="s">
        <v>112</v>
      </c>
      <c r="F34" s="6" t="s">
        <v>107</v>
      </c>
      <c r="G34" s="6">
        <v>13376.23</v>
      </c>
      <c r="H34" s="15">
        <v>45994</v>
      </c>
      <c r="I34" s="15">
        <v>46036</v>
      </c>
      <c r="J34" s="6" t="s">
        <v>108</v>
      </c>
      <c r="K34" s="6" t="s">
        <v>110</v>
      </c>
      <c r="L34" s="6" t="s">
        <v>109</v>
      </c>
      <c r="M34" s="15">
        <f>Таблица1[[#This Row],[Дата окончания ]]-7</f>
        <v>46029</v>
      </c>
      <c r="N34" s="18">
        <f>Таблица1[[#This Row],[Дата окончания ]]-5</f>
        <v>46031</v>
      </c>
      <c r="O34" s="15">
        <f>Таблица1[[#This Row],[Дата окончания ]]-1</f>
        <v>46035</v>
      </c>
      <c r="P34" s="6"/>
    </row>
    <row r="35" spans="1:16" ht="62" x14ac:dyDescent="0.35">
      <c r="A35" s="29" t="s">
        <v>158</v>
      </c>
      <c r="B35" s="14" t="s">
        <v>157</v>
      </c>
      <c r="C35" s="6" t="s">
        <v>116</v>
      </c>
      <c r="D35" s="6" t="s">
        <v>115</v>
      </c>
      <c r="E35" s="6" t="s">
        <v>139</v>
      </c>
      <c r="F35" s="6" t="s">
        <v>118</v>
      </c>
      <c r="G35" s="6">
        <v>12518.5</v>
      </c>
      <c r="H35" s="15">
        <v>45994</v>
      </c>
      <c r="I35" s="18">
        <v>46037</v>
      </c>
      <c r="J35" s="6" t="s">
        <v>117</v>
      </c>
      <c r="K35" s="6" t="s">
        <v>110</v>
      </c>
      <c r="L35" s="6" t="s">
        <v>153</v>
      </c>
      <c r="M35" s="15">
        <f>Таблица1[[#This Row],[Дата окончания ]]-7</f>
        <v>46030</v>
      </c>
      <c r="N35" s="18">
        <f>Таблица1[[#This Row],[Дата окончания ]]-5</f>
        <v>46032</v>
      </c>
      <c r="O35" s="15">
        <f>Таблица1[[#This Row],[Дата окончания ]]-1</f>
        <v>46036</v>
      </c>
      <c r="P35" s="6"/>
    </row>
    <row r="36" spans="1:16" s="24" customFormat="1" ht="62" x14ac:dyDescent="0.35">
      <c r="A36" s="6" t="s">
        <v>290</v>
      </c>
      <c r="B36" s="14" t="s">
        <v>156</v>
      </c>
      <c r="C36" s="6" t="s">
        <v>147</v>
      </c>
      <c r="D36" s="6" t="s">
        <v>145</v>
      </c>
      <c r="E36" s="6" t="s">
        <v>146</v>
      </c>
      <c r="F36" s="6" t="s">
        <v>149</v>
      </c>
      <c r="G36" s="6">
        <v>19604.34</v>
      </c>
      <c r="H36" s="15">
        <v>45932</v>
      </c>
      <c r="I36" s="15">
        <v>46037</v>
      </c>
      <c r="J36" s="6" t="s">
        <v>150</v>
      </c>
      <c r="K36" s="6" t="s">
        <v>110</v>
      </c>
      <c r="L36" s="6" t="s">
        <v>151</v>
      </c>
      <c r="M36" s="15">
        <f>Таблица1[[#This Row],[Дата окончания ]]-7</f>
        <v>46030</v>
      </c>
      <c r="N36" s="18">
        <f>Таблица1[[#This Row],[Дата окончания ]]-5</f>
        <v>46032</v>
      </c>
      <c r="O36" s="15">
        <f>Таблица1[[#This Row],[Дата окончания ]]-1</f>
        <v>46036</v>
      </c>
      <c r="P36" s="16"/>
    </row>
    <row r="37" spans="1:16" s="24" customFormat="1" ht="62" x14ac:dyDescent="0.35">
      <c r="A37" s="29" t="s">
        <v>158</v>
      </c>
      <c r="B37" s="14" t="s">
        <v>159</v>
      </c>
      <c r="C37" s="6" t="s">
        <v>116</v>
      </c>
      <c r="D37" s="6" t="s">
        <v>115</v>
      </c>
      <c r="E37" s="6" t="s">
        <v>139</v>
      </c>
      <c r="F37" s="6" t="s">
        <v>118</v>
      </c>
      <c r="G37" s="6">
        <v>19124.3</v>
      </c>
      <c r="H37" s="15">
        <v>45994</v>
      </c>
      <c r="I37" s="18">
        <v>46038</v>
      </c>
      <c r="J37" s="6" t="s">
        <v>117</v>
      </c>
      <c r="K37" s="6" t="s">
        <v>110</v>
      </c>
      <c r="L37" s="6" t="s">
        <v>153</v>
      </c>
      <c r="M37" s="15">
        <f>Таблица1[[#This Row],[Дата окончания ]]-7</f>
        <v>46031</v>
      </c>
      <c r="N37" s="18">
        <f>Таблица1[[#This Row],[Дата окончания ]]-5</f>
        <v>46033</v>
      </c>
      <c r="O37" s="15">
        <f>Таблица1[[#This Row],[Дата окончания ]]-1</f>
        <v>46037</v>
      </c>
      <c r="P37" s="16"/>
    </row>
    <row r="38" spans="1:16" s="24" customFormat="1" ht="62" x14ac:dyDescent="0.35">
      <c r="A38" s="16" t="s">
        <v>104</v>
      </c>
      <c r="B38" s="14" t="s">
        <v>160</v>
      </c>
      <c r="C38" s="6" t="s">
        <v>105</v>
      </c>
      <c r="D38" s="6" t="s">
        <v>106</v>
      </c>
      <c r="E38" s="6" t="s">
        <v>112</v>
      </c>
      <c r="F38" s="6" t="s">
        <v>107</v>
      </c>
      <c r="G38" s="6">
        <v>7866.46</v>
      </c>
      <c r="H38" s="15">
        <v>45994</v>
      </c>
      <c r="I38" s="15">
        <v>46038</v>
      </c>
      <c r="J38" s="6" t="s">
        <v>108</v>
      </c>
      <c r="K38" s="6" t="s">
        <v>110</v>
      </c>
      <c r="L38" s="6" t="s">
        <v>109</v>
      </c>
      <c r="M38" s="15">
        <f>Таблица1[[#This Row],[Дата окончания ]]-7</f>
        <v>46031</v>
      </c>
      <c r="N38" s="18">
        <f>Таблица1[[#This Row],[Дата окончания ]]-5</f>
        <v>46033</v>
      </c>
      <c r="O38" s="15">
        <f>Таблица1[[#This Row],[Дата окончания ]]-1</f>
        <v>46037</v>
      </c>
      <c r="P38" s="16"/>
    </row>
    <row r="39" spans="1:16" s="24" customFormat="1" ht="62" x14ac:dyDescent="0.35">
      <c r="A39" s="16" t="s">
        <v>104</v>
      </c>
      <c r="B39" s="14" t="s">
        <v>161</v>
      </c>
      <c r="C39" s="6" t="s">
        <v>105</v>
      </c>
      <c r="D39" s="6" t="s">
        <v>106</v>
      </c>
      <c r="E39" s="6" t="s">
        <v>112</v>
      </c>
      <c r="F39" s="6" t="s">
        <v>107</v>
      </c>
      <c r="G39" s="6">
        <v>3984.39</v>
      </c>
      <c r="H39" s="15">
        <v>45994</v>
      </c>
      <c r="I39" s="15">
        <v>46038</v>
      </c>
      <c r="J39" s="6" t="s">
        <v>108</v>
      </c>
      <c r="K39" s="6" t="s">
        <v>110</v>
      </c>
      <c r="L39" s="6" t="s">
        <v>109</v>
      </c>
      <c r="M39" s="15">
        <f>Таблица1[[#This Row],[Дата окончания ]]-7</f>
        <v>46031</v>
      </c>
      <c r="N39" s="18">
        <f>Таблица1[[#This Row],[Дата окончания ]]-5</f>
        <v>46033</v>
      </c>
      <c r="O39" s="15">
        <f>Таблица1[[#This Row],[Дата окончания ]]-1</f>
        <v>46037</v>
      </c>
      <c r="P39" s="16"/>
    </row>
    <row r="40" spans="1:16" s="24" customFormat="1" ht="62" x14ac:dyDescent="0.35">
      <c r="A40" s="29" t="s">
        <v>158</v>
      </c>
      <c r="B40" s="14" t="s">
        <v>162</v>
      </c>
      <c r="C40" s="6" t="s">
        <v>116</v>
      </c>
      <c r="D40" s="6" t="s">
        <v>115</v>
      </c>
      <c r="E40" s="6" t="s">
        <v>139</v>
      </c>
      <c r="F40" s="6" t="s">
        <v>118</v>
      </c>
      <c r="G40" s="6">
        <v>19366.900000000001</v>
      </c>
      <c r="H40" s="15">
        <v>45994</v>
      </c>
      <c r="I40" s="18">
        <v>46041</v>
      </c>
      <c r="J40" s="6" t="s">
        <v>117</v>
      </c>
      <c r="K40" s="6" t="s">
        <v>110</v>
      </c>
      <c r="L40" s="6" t="s">
        <v>153</v>
      </c>
      <c r="M40" s="15">
        <f>Таблица1[[#This Row],[Дата окончания ]]-7</f>
        <v>46034</v>
      </c>
      <c r="N40" s="18">
        <f>Таблица1[[#This Row],[Дата окончания ]]-5</f>
        <v>46036</v>
      </c>
      <c r="O40" s="15">
        <f>Таблица1[[#This Row],[Дата окончания ]]-1</f>
        <v>46040</v>
      </c>
      <c r="P40" s="16"/>
    </row>
    <row r="41" spans="1:16" s="24" customFormat="1" ht="62" x14ac:dyDescent="0.35">
      <c r="A41" s="6" t="s">
        <v>290</v>
      </c>
      <c r="B41" s="14" t="s">
        <v>163</v>
      </c>
      <c r="C41" s="6" t="s">
        <v>147</v>
      </c>
      <c r="D41" s="6" t="s">
        <v>145</v>
      </c>
      <c r="E41" s="6" t="s">
        <v>146</v>
      </c>
      <c r="F41" s="6" t="s">
        <v>149</v>
      </c>
      <c r="G41" s="22">
        <v>18696.830000000002</v>
      </c>
      <c r="H41" s="15">
        <v>45932</v>
      </c>
      <c r="I41" s="15">
        <v>46042</v>
      </c>
      <c r="J41" s="6" t="s">
        <v>150</v>
      </c>
      <c r="K41" s="6" t="s">
        <v>110</v>
      </c>
      <c r="L41" s="6" t="s">
        <v>151</v>
      </c>
      <c r="M41" s="15">
        <f>Таблица1[[#This Row],[Дата окончания ]]-7</f>
        <v>46035</v>
      </c>
      <c r="N41" s="18">
        <f>Таблица1[[#This Row],[Дата окончания ]]-5</f>
        <v>46037</v>
      </c>
      <c r="O41" s="15">
        <f>Таблица1[[#This Row],[Дата окончания ]]-1</f>
        <v>46041</v>
      </c>
      <c r="P41" s="16"/>
    </row>
    <row r="42" spans="1:16" s="24" customFormat="1" ht="62" x14ac:dyDescent="0.35">
      <c r="A42" s="29" t="s">
        <v>158</v>
      </c>
      <c r="B42" s="14" t="s">
        <v>164</v>
      </c>
      <c r="C42" s="6" t="s">
        <v>116</v>
      </c>
      <c r="D42" s="6" t="s">
        <v>115</v>
      </c>
      <c r="E42" s="6" t="s">
        <v>139</v>
      </c>
      <c r="F42" s="6" t="s">
        <v>118</v>
      </c>
      <c r="G42" s="22">
        <v>19524.599999999999</v>
      </c>
      <c r="H42" s="15">
        <v>45994</v>
      </c>
      <c r="I42" s="18">
        <v>46042</v>
      </c>
      <c r="J42" s="6" t="s">
        <v>117</v>
      </c>
      <c r="K42" s="6" t="s">
        <v>110</v>
      </c>
      <c r="L42" s="6" t="s">
        <v>153</v>
      </c>
      <c r="M42" s="15">
        <f>Таблица1[[#This Row],[Дата окончания ]]-7</f>
        <v>46035</v>
      </c>
      <c r="N42" s="18">
        <f>Таблица1[[#This Row],[Дата окончания ]]-5</f>
        <v>46037</v>
      </c>
      <c r="O42" s="15">
        <f>Таблица1[[#This Row],[Дата окончания ]]-1</f>
        <v>46041</v>
      </c>
      <c r="P42" s="16"/>
    </row>
    <row r="43" spans="1:16" s="24" customFormat="1" ht="31" x14ac:dyDescent="0.35">
      <c r="A43" s="16" t="s">
        <v>217</v>
      </c>
      <c r="B43" s="23" t="s">
        <v>165</v>
      </c>
      <c r="C43" s="16" t="s">
        <v>96</v>
      </c>
      <c r="D43" s="16" t="s">
        <v>97</v>
      </c>
      <c r="E43" s="16" t="s">
        <v>98</v>
      </c>
      <c r="F43" s="16" t="s">
        <v>99</v>
      </c>
      <c r="G43" s="21">
        <v>6139.8</v>
      </c>
      <c r="H43" s="18">
        <v>46032</v>
      </c>
      <c r="I43" s="18">
        <v>46043</v>
      </c>
      <c r="J43" s="16" t="s">
        <v>125</v>
      </c>
      <c r="K43" s="16" t="s">
        <v>101</v>
      </c>
      <c r="L43" s="16" t="s">
        <v>102</v>
      </c>
      <c r="M43" s="15">
        <f>Таблица1[[#This Row],[Дата окончания ]]-7</f>
        <v>46036</v>
      </c>
      <c r="N43" s="18">
        <f>Таблица1[[#This Row],[Дата окончания ]]-5</f>
        <v>46038</v>
      </c>
      <c r="O43" s="18">
        <f>Таблица1[[#This Row],[Дата окончания ]]-1</f>
        <v>46042</v>
      </c>
      <c r="P43" s="16"/>
    </row>
    <row r="44" spans="1:16" s="24" customFormat="1" ht="31" x14ac:dyDescent="0.35">
      <c r="A44" s="16" t="s">
        <v>167</v>
      </c>
      <c r="B44" s="23" t="s">
        <v>171</v>
      </c>
      <c r="C44" s="16" t="s">
        <v>96</v>
      </c>
      <c r="D44" s="16" t="s">
        <v>97</v>
      </c>
      <c r="E44" s="16" t="s">
        <v>168</v>
      </c>
      <c r="F44" s="16" t="s">
        <v>169</v>
      </c>
      <c r="G44" s="21">
        <v>12222.5</v>
      </c>
      <c r="H44" s="18">
        <v>45663</v>
      </c>
      <c r="I44" s="18">
        <v>46043</v>
      </c>
      <c r="J44" s="16" t="s">
        <v>172</v>
      </c>
      <c r="K44" s="16" t="s">
        <v>170</v>
      </c>
      <c r="L44" s="16" t="s">
        <v>102</v>
      </c>
      <c r="M44" s="15">
        <f>Таблица1[[#This Row],[Дата окончания ]]-7</f>
        <v>46036</v>
      </c>
      <c r="N44" s="18">
        <f>Таблица1[[#This Row],[Дата окончания ]]-5</f>
        <v>46038</v>
      </c>
      <c r="O44" s="18">
        <f>Таблица1[[#This Row],[Дата окончания ]]-1</f>
        <v>46042</v>
      </c>
      <c r="P44" s="16"/>
    </row>
    <row r="45" spans="1:16" s="24" customFormat="1" ht="62" x14ac:dyDescent="0.35">
      <c r="A45" s="29" t="s">
        <v>158</v>
      </c>
      <c r="B45" s="23" t="s">
        <v>166</v>
      </c>
      <c r="C45" s="16" t="s">
        <v>116</v>
      </c>
      <c r="D45" s="16" t="s">
        <v>115</v>
      </c>
      <c r="E45" s="16" t="s">
        <v>139</v>
      </c>
      <c r="F45" s="16" t="s">
        <v>118</v>
      </c>
      <c r="G45" s="21">
        <v>17292.8</v>
      </c>
      <c r="H45" s="18">
        <v>45994</v>
      </c>
      <c r="I45" s="18">
        <v>46043</v>
      </c>
      <c r="J45" s="16" t="s">
        <v>117</v>
      </c>
      <c r="K45" s="16" t="s">
        <v>110</v>
      </c>
      <c r="L45" s="16" t="s">
        <v>153</v>
      </c>
      <c r="M45" s="15">
        <f>Таблица1[[#This Row],[Дата окончания ]]-7</f>
        <v>46036</v>
      </c>
      <c r="N45" s="18">
        <f>Таблица1[[#This Row],[Дата окончания ]]-5</f>
        <v>46038</v>
      </c>
      <c r="O45" s="18">
        <f>Таблица1[[#This Row],[Дата окончания ]]-1</f>
        <v>46042</v>
      </c>
      <c r="P45" s="16"/>
    </row>
    <row r="46" spans="1:16" ht="62" x14ac:dyDescent="0.35">
      <c r="A46" s="29" t="s">
        <v>158</v>
      </c>
      <c r="B46" s="23" t="s">
        <v>142</v>
      </c>
      <c r="C46" s="16" t="s">
        <v>116</v>
      </c>
      <c r="D46" s="16" t="s">
        <v>115</v>
      </c>
      <c r="E46" s="16" t="s">
        <v>139</v>
      </c>
      <c r="F46" s="16" t="s">
        <v>118</v>
      </c>
      <c r="G46" s="21">
        <v>17714.80000000001</v>
      </c>
      <c r="H46" s="18">
        <v>45994</v>
      </c>
      <c r="I46" s="18">
        <v>46043</v>
      </c>
      <c r="J46" s="16" t="s">
        <v>117</v>
      </c>
      <c r="K46" s="16" t="s">
        <v>110</v>
      </c>
      <c r="L46" s="16" t="s">
        <v>153</v>
      </c>
      <c r="M46" s="15">
        <f>Таблица1[[#This Row],[Дата окончания ]]-7</f>
        <v>46036</v>
      </c>
      <c r="N46" s="18">
        <f>Таблица1[[#This Row],[Дата окончания ]]-5</f>
        <v>46038</v>
      </c>
      <c r="O46" s="18">
        <f>Таблица1[[#This Row],[Дата окончания ]]-1</f>
        <v>46042</v>
      </c>
      <c r="P46" s="6"/>
    </row>
    <row r="47" spans="1:16" ht="62" x14ac:dyDescent="0.35">
      <c r="A47" s="29" t="s">
        <v>158</v>
      </c>
      <c r="B47" s="23" t="s">
        <v>152</v>
      </c>
      <c r="C47" s="16" t="s">
        <v>116</v>
      </c>
      <c r="D47" s="16" t="s">
        <v>115</v>
      </c>
      <c r="E47" s="16" t="s">
        <v>139</v>
      </c>
      <c r="F47" s="16" t="s">
        <v>118</v>
      </c>
      <c r="G47" s="21">
        <v>19149.8</v>
      </c>
      <c r="H47" s="18">
        <v>45994</v>
      </c>
      <c r="I47" s="18">
        <v>46044</v>
      </c>
      <c r="J47" s="16" t="s">
        <v>117</v>
      </c>
      <c r="K47" s="16" t="s">
        <v>110</v>
      </c>
      <c r="L47" s="16" t="s">
        <v>153</v>
      </c>
      <c r="M47" s="15">
        <f>Таблица1[[#This Row],[Дата окончания ]]-7</f>
        <v>46037</v>
      </c>
      <c r="N47" s="18">
        <f>Таблица1[[#This Row],[Дата окончания ]]-5</f>
        <v>46039</v>
      </c>
      <c r="O47" s="18">
        <f>Таблица1[[#This Row],[Дата окончания ]]-1</f>
        <v>46043</v>
      </c>
      <c r="P47" s="6"/>
    </row>
    <row r="48" spans="1:16" ht="31" x14ac:dyDescent="0.35">
      <c r="A48" s="16" t="s">
        <v>217</v>
      </c>
      <c r="B48" s="23" t="s">
        <v>173</v>
      </c>
      <c r="C48" s="16" t="s">
        <v>96</v>
      </c>
      <c r="D48" s="16" t="s">
        <v>97</v>
      </c>
      <c r="E48" s="16" t="s">
        <v>98</v>
      </c>
      <c r="F48" s="16" t="s">
        <v>99</v>
      </c>
      <c r="G48" s="21">
        <v>1045.9000000000001</v>
      </c>
      <c r="H48" s="18">
        <v>46032</v>
      </c>
      <c r="I48" s="18">
        <v>46044</v>
      </c>
      <c r="J48" s="16" t="s">
        <v>125</v>
      </c>
      <c r="K48" s="16" t="s">
        <v>101</v>
      </c>
      <c r="L48" s="16" t="s">
        <v>102</v>
      </c>
      <c r="M48" s="15">
        <f>Таблица1[[#This Row],[Дата окончания ]]-7</f>
        <v>46037</v>
      </c>
      <c r="N48" s="18">
        <f>Таблица1[[#This Row],[Дата окончания ]]-5</f>
        <v>46039</v>
      </c>
      <c r="O48" s="18">
        <f>Таблица1[[#This Row],[Дата окончания ]]-1</f>
        <v>46043</v>
      </c>
      <c r="P48" s="6"/>
    </row>
    <row r="49" spans="1:16" ht="31" x14ac:dyDescent="0.35">
      <c r="A49" s="16" t="s">
        <v>167</v>
      </c>
      <c r="B49" s="23" t="s">
        <v>174</v>
      </c>
      <c r="C49" s="16" t="s">
        <v>96</v>
      </c>
      <c r="D49" s="16" t="s">
        <v>97</v>
      </c>
      <c r="E49" s="16" t="s">
        <v>168</v>
      </c>
      <c r="F49" s="16" t="s">
        <v>169</v>
      </c>
      <c r="G49" s="21">
        <v>15180.6</v>
      </c>
      <c r="H49" s="18">
        <v>46028</v>
      </c>
      <c r="I49" s="18">
        <v>46044</v>
      </c>
      <c r="J49" s="16" t="s">
        <v>172</v>
      </c>
      <c r="K49" s="16" t="s">
        <v>170</v>
      </c>
      <c r="L49" s="16" t="s">
        <v>102</v>
      </c>
      <c r="M49" s="15">
        <f>Таблица1[[#This Row],[Дата окончания ]]-7</f>
        <v>46037</v>
      </c>
      <c r="N49" s="18">
        <f>Таблица1[[#This Row],[Дата окончания ]]-5</f>
        <v>46039</v>
      </c>
      <c r="O49" s="18">
        <f>Таблица1[[#This Row],[Дата окончания ]]-1</f>
        <v>46043</v>
      </c>
      <c r="P49" s="6"/>
    </row>
    <row r="50" spans="1:16" ht="31" x14ac:dyDescent="0.35">
      <c r="A50" s="16" t="s">
        <v>217</v>
      </c>
      <c r="B50" s="23" t="s">
        <v>175</v>
      </c>
      <c r="C50" s="16" t="s">
        <v>96</v>
      </c>
      <c r="D50" s="16" t="s">
        <v>97</v>
      </c>
      <c r="E50" s="16" t="s">
        <v>98</v>
      </c>
      <c r="F50" s="16" t="s">
        <v>99</v>
      </c>
      <c r="G50" s="21">
        <v>7460</v>
      </c>
      <c r="H50" s="18">
        <v>46032</v>
      </c>
      <c r="I50" s="18">
        <v>46045</v>
      </c>
      <c r="J50" s="16" t="s">
        <v>125</v>
      </c>
      <c r="K50" s="16" t="s">
        <v>101</v>
      </c>
      <c r="L50" s="16" t="s">
        <v>102</v>
      </c>
      <c r="M50" s="15">
        <f>Таблица1[[#This Row],[Дата окончания ]]-7</f>
        <v>46038</v>
      </c>
      <c r="N50" s="18">
        <f>Таблица1[[#This Row],[Дата окончания ]]-5</f>
        <v>46040</v>
      </c>
      <c r="O50" s="18">
        <f>Таблица1[[#This Row],[Дата окончания ]]-1</f>
        <v>46044</v>
      </c>
      <c r="P50" s="6"/>
    </row>
    <row r="51" spans="1:16" s="24" customFormat="1" ht="31" x14ac:dyDescent="0.35">
      <c r="A51" s="16" t="s">
        <v>167</v>
      </c>
      <c r="B51" s="23" t="s">
        <v>176</v>
      </c>
      <c r="C51" s="16" t="s">
        <v>96</v>
      </c>
      <c r="D51" s="16" t="s">
        <v>97</v>
      </c>
      <c r="E51" s="16" t="s">
        <v>168</v>
      </c>
      <c r="F51" s="16" t="s">
        <v>169</v>
      </c>
      <c r="G51" s="21">
        <v>9716.2000000000007</v>
      </c>
      <c r="H51" s="18">
        <v>46028</v>
      </c>
      <c r="I51" s="18">
        <v>46045</v>
      </c>
      <c r="J51" s="16" t="s">
        <v>172</v>
      </c>
      <c r="K51" s="16" t="s">
        <v>170</v>
      </c>
      <c r="L51" s="16" t="s">
        <v>102</v>
      </c>
      <c r="M51" s="15">
        <f>Таблица1[[#This Row],[Дата окончания ]]-7</f>
        <v>46038</v>
      </c>
      <c r="N51" s="18">
        <f>Таблица1[[#This Row],[Дата окончания ]]-5</f>
        <v>46040</v>
      </c>
      <c r="O51" s="18">
        <f>Таблица1[[#This Row],[Дата окончания ]]-1</f>
        <v>46044</v>
      </c>
      <c r="P51" s="16"/>
    </row>
    <row r="52" spans="1:16" s="24" customFormat="1" ht="62" x14ac:dyDescent="0.35">
      <c r="A52" s="29" t="s">
        <v>158</v>
      </c>
      <c r="B52" s="23" t="s">
        <v>160</v>
      </c>
      <c r="C52" s="16" t="s">
        <v>116</v>
      </c>
      <c r="D52" s="16" t="s">
        <v>115</v>
      </c>
      <c r="E52" s="16" t="s">
        <v>139</v>
      </c>
      <c r="F52" s="16" t="s">
        <v>118</v>
      </c>
      <c r="G52" s="21">
        <v>19383.2</v>
      </c>
      <c r="H52" s="18">
        <v>45994</v>
      </c>
      <c r="I52" s="18">
        <v>46045</v>
      </c>
      <c r="J52" s="16" t="s">
        <v>117</v>
      </c>
      <c r="K52" s="16" t="s">
        <v>110</v>
      </c>
      <c r="L52" s="16" t="s">
        <v>153</v>
      </c>
      <c r="M52" s="15">
        <f>Таблица1[[#This Row],[Дата окончания ]]-7</f>
        <v>46038</v>
      </c>
      <c r="N52" s="18">
        <f>Таблица1[[#This Row],[Дата окончания ]]-5</f>
        <v>46040</v>
      </c>
      <c r="O52" s="18">
        <f>Таблица1[[#This Row],[Дата окончания ]]-1</f>
        <v>46044</v>
      </c>
      <c r="P52" s="16"/>
    </row>
    <row r="53" spans="1:16" s="24" customFormat="1" ht="31" x14ac:dyDescent="0.35">
      <c r="A53" s="16" t="s">
        <v>167</v>
      </c>
      <c r="B53" s="23" t="s">
        <v>177</v>
      </c>
      <c r="C53" s="16" t="s">
        <v>96</v>
      </c>
      <c r="D53" s="16" t="s">
        <v>97</v>
      </c>
      <c r="E53" s="16" t="s">
        <v>168</v>
      </c>
      <c r="F53" s="16" t="s">
        <v>169</v>
      </c>
      <c r="G53" s="22">
        <v>10300.5</v>
      </c>
      <c r="H53" s="18">
        <v>46028</v>
      </c>
      <c r="I53" s="15">
        <v>46048</v>
      </c>
      <c r="J53" s="16" t="s">
        <v>172</v>
      </c>
      <c r="K53" s="16" t="s">
        <v>170</v>
      </c>
      <c r="L53" s="16" t="s">
        <v>102</v>
      </c>
      <c r="M53" s="15">
        <f>Таблица1[[#This Row],[Дата окончания ]]-7</f>
        <v>46041</v>
      </c>
      <c r="N53" s="18">
        <f>Таблица1[[#This Row],[Дата окончания ]]-5</f>
        <v>46043</v>
      </c>
      <c r="O53" s="15">
        <f>Таблица1[[#This Row],[Дата окончания ]]-1</f>
        <v>46047</v>
      </c>
      <c r="P53" s="16"/>
    </row>
    <row r="54" spans="1:16" s="24" customFormat="1" ht="62" x14ac:dyDescent="0.35">
      <c r="A54" s="29" t="s">
        <v>158</v>
      </c>
      <c r="B54" s="26" t="s">
        <v>161</v>
      </c>
      <c r="C54" s="25" t="s">
        <v>116</v>
      </c>
      <c r="D54" s="25" t="s">
        <v>115</v>
      </c>
      <c r="E54" s="25" t="s">
        <v>139</v>
      </c>
      <c r="F54" s="25" t="s">
        <v>118</v>
      </c>
      <c r="G54" s="22">
        <v>16338.3</v>
      </c>
      <c r="H54" s="28">
        <v>45994</v>
      </c>
      <c r="I54" s="18">
        <v>46048</v>
      </c>
      <c r="J54" s="25" t="s">
        <v>117</v>
      </c>
      <c r="K54" s="25" t="s">
        <v>110</v>
      </c>
      <c r="L54" s="25" t="s">
        <v>153</v>
      </c>
      <c r="M54" s="15">
        <f>Таблица1[[#This Row],[Дата окончания ]]-7</f>
        <v>46041</v>
      </c>
      <c r="N54" s="18">
        <f>Таблица1[[#This Row],[Дата окончания ]]-5</f>
        <v>46043</v>
      </c>
      <c r="O54" s="15">
        <f>Таблица1[[#This Row],[Дата окончания ]]-1</f>
        <v>46047</v>
      </c>
      <c r="P54" s="16"/>
    </row>
    <row r="55" spans="1:16" ht="31" x14ac:dyDescent="0.35">
      <c r="A55" s="16" t="s">
        <v>167</v>
      </c>
      <c r="B55" s="23" t="s">
        <v>186</v>
      </c>
      <c r="C55" s="16" t="s">
        <v>96</v>
      </c>
      <c r="D55" s="25" t="s">
        <v>97</v>
      </c>
      <c r="E55" s="16" t="s">
        <v>168</v>
      </c>
      <c r="F55" s="16" t="s">
        <v>169</v>
      </c>
      <c r="G55" s="22">
        <v>11110</v>
      </c>
      <c r="H55" s="18">
        <v>46028</v>
      </c>
      <c r="I55" s="15">
        <v>46049</v>
      </c>
      <c r="J55" s="16" t="s">
        <v>172</v>
      </c>
      <c r="K55" s="16" t="s">
        <v>170</v>
      </c>
      <c r="L55" s="16" t="s">
        <v>102</v>
      </c>
      <c r="M55" s="15">
        <f>Таблица1[[#This Row],[Дата окончания ]]-7</f>
        <v>46042</v>
      </c>
      <c r="N55" s="18">
        <f>Таблица1[[#This Row],[Дата окончания ]]-5</f>
        <v>46044</v>
      </c>
      <c r="O55" s="15">
        <f>Таблица1[[#This Row],[Дата окончания ]]-1</f>
        <v>46048</v>
      </c>
      <c r="P55" s="6"/>
    </row>
    <row r="56" spans="1:16" ht="31" x14ac:dyDescent="0.35">
      <c r="A56" s="16" t="s">
        <v>217</v>
      </c>
      <c r="B56" s="23" t="s">
        <v>187</v>
      </c>
      <c r="C56" s="16" t="s">
        <v>96</v>
      </c>
      <c r="D56" s="25" t="s">
        <v>97</v>
      </c>
      <c r="E56" s="16" t="s">
        <v>98</v>
      </c>
      <c r="F56" s="16" t="s">
        <v>99</v>
      </c>
      <c r="G56" s="22">
        <v>3218.4</v>
      </c>
      <c r="H56" s="18">
        <v>46032</v>
      </c>
      <c r="I56" s="15">
        <v>46049</v>
      </c>
      <c r="J56" s="16" t="s">
        <v>125</v>
      </c>
      <c r="K56" s="16" t="s">
        <v>101</v>
      </c>
      <c r="L56" s="16" t="s">
        <v>102</v>
      </c>
      <c r="M56" s="15">
        <f>Таблица1[[#This Row],[Дата окончания ]]-7</f>
        <v>46042</v>
      </c>
      <c r="N56" s="18">
        <f>Таблица1[[#This Row],[Дата окончания ]]-5</f>
        <v>46044</v>
      </c>
      <c r="O56" s="15">
        <f>Таблица1[[#This Row],[Дата окончания ]]-1</f>
        <v>46048</v>
      </c>
      <c r="P56" s="6"/>
    </row>
    <row r="57" spans="1:16" ht="31" x14ac:dyDescent="0.35">
      <c r="A57" s="16" t="s">
        <v>167</v>
      </c>
      <c r="B57" s="23" t="s">
        <v>188</v>
      </c>
      <c r="C57" s="16" t="s">
        <v>96</v>
      </c>
      <c r="D57" s="25" t="s">
        <v>97</v>
      </c>
      <c r="E57" s="16" t="s">
        <v>168</v>
      </c>
      <c r="F57" s="16" t="s">
        <v>169</v>
      </c>
      <c r="G57" s="21">
        <v>14295.3</v>
      </c>
      <c r="H57" s="18">
        <v>46028</v>
      </c>
      <c r="I57" s="18">
        <v>46049</v>
      </c>
      <c r="J57" s="16" t="s">
        <v>172</v>
      </c>
      <c r="K57" s="16" t="s">
        <v>170</v>
      </c>
      <c r="L57" s="16" t="s">
        <v>102</v>
      </c>
      <c r="M57" s="15">
        <f>Таблица1[[#This Row],[Дата окончания ]]-7</f>
        <v>46042</v>
      </c>
      <c r="N57" s="18">
        <f>Таблица1[[#This Row],[Дата окончания ]]-5</f>
        <v>46044</v>
      </c>
      <c r="O57" s="18">
        <f>Таблица1[[#This Row],[Дата окончания ]]-1</f>
        <v>46048</v>
      </c>
      <c r="P57" s="6"/>
    </row>
    <row r="58" spans="1:16" ht="31" x14ac:dyDescent="0.35">
      <c r="A58" s="16" t="s">
        <v>217</v>
      </c>
      <c r="B58" s="23" t="s">
        <v>189</v>
      </c>
      <c r="C58" s="16" t="s">
        <v>96</v>
      </c>
      <c r="D58" s="25" t="s">
        <v>97</v>
      </c>
      <c r="E58" s="16" t="s">
        <v>98</v>
      </c>
      <c r="F58" s="16" t="s">
        <v>99</v>
      </c>
      <c r="G58" s="21">
        <v>1858.4</v>
      </c>
      <c r="H58" s="18">
        <v>46032</v>
      </c>
      <c r="I58" s="18">
        <v>46049</v>
      </c>
      <c r="J58" s="16" t="s">
        <v>125</v>
      </c>
      <c r="K58" s="16" t="s">
        <v>101</v>
      </c>
      <c r="L58" s="16" t="s">
        <v>102</v>
      </c>
      <c r="M58" s="15">
        <f>Таблица1[[#This Row],[Дата окончания ]]-7</f>
        <v>46042</v>
      </c>
      <c r="N58" s="18">
        <f>Таблица1[[#This Row],[Дата окончания ]]-5</f>
        <v>46044</v>
      </c>
      <c r="O58" s="18">
        <f>Таблица1[[#This Row],[Дата окончания ]]-1</f>
        <v>46048</v>
      </c>
      <c r="P58" s="6"/>
    </row>
    <row r="59" spans="1:16" s="6" customFormat="1" ht="31" x14ac:dyDescent="0.35">
      <c r="A59" s="16" t="s">
        <v>167</v>
      </c>
      <c r="B59" s="23" t="s">
        <v>191</v>
      </c>
      <c r="C59" s="16" t="s">
        <v>96</v>
      </c>
      <c r="D59" s="25" t="s">
        <v>97</v>
      </c>
      <c r="E59" s="16" t="s">
        <v>168</v>
      </c>
      <c r="F59" s="16" t="s">
        <v>169</v>
      </c>
      <c r="G59" s="21">
        <v>12586.2</v>
      </c>
      <c r="H59" s="18">
        <v>46028</v>
      </c>
      <c r="I59" s="18">
        <v>46050</v>
      </c>
      <c r="J59" s="16" t="s">
        <v>172</v>
      </c>
      <c r="K59" s="16" t="s">
        <v>170</v>
      </c>
      <c r="L59" s="16" t="s">
        <v>102</v>
      </c>
      <c r="M59" s="15">
        <f>Таблица1[[#This Row],[Дата окончания ]]-7</f>
        <v>46043</v>
      </c>
      <c r="N59" s="18">
        <f>Таблица1[[#This Row],[Дата окончания ]]-5</f>
        <v>46045</v>
      </c>
      <c r="O59" s="18">
        <f>Таблица1[[#This Row],[Дата окончания ]]-1</f>
        <v>46049</v>
      </c>
    </row>
    <row r="60" spans="1:16" ht="31" x14ac:dyDescent="0.35">
      <c r="A60" s="16" t="s">
        <v>217</v>
      </c>
      <c r="B60" s="33" t="s">
        <v>190</v>
      </c>
      <c r="C60" s="27" t="s">
        <v>96</v>
      </c>
      <c r="D60" s="25" t="s">
        <v>97</v>
      </c>
      <c r="E60" s="27" t="s">
        <v>98</v>
      </c>
      <c r="F60" s="27" t="s">
        <v>99</v>
      </c>
      <c r="G60" s="21">
        <v>8840.9140000000007</v>
      </c>
      <c r="H60" s="34">
        <v>46032</v>
      </c>
      <c r="I60" s="18">
        <v>46050</v>
      </c>
      <c r="J60" s="27" t="s">
        <v>125</v>
      </c>
      <c r="K60" s="27" t="s">
        <v>101</v>
      </c>
      <c r="L60" s="27" t="s">
        <v>102</v>
      </c>
      <c r="M60" s="15">
        <f>Таблица1[[#This Row],[Дата окончания ]]-7</f>
        <v>46043</v>
      </c>
      <c r="N60" s="18">
        <f>Таблица1[[#This Row],[Дата окончания ]]-5</f>
        <v>46045</v>
      </c>
      <c r="O60" s="18">
        <f>Таблица1[[#This Row],[Дата окончания ]]-1</f>
        <v>46049</v>
      </c>
      <c r="P60" s="6"/>
    </row>
    <row r="61" spans="1:16" s="6" customFormat="1" ht="31" x14ac:dyDescent="0.35">
      <c r="A61" s="16" t="s">
        <v>167</v>
      </c>
      <c r="B61" s="23" t="s">
        <v>215</v>
      </c>
      <c r="C61" s="16" t="s">
        <v>96</v>
      </c>
      <c r="D61" s="25" t="s">
        <v>97</v>
      </c>
      <c r="E61" s="16" t="s">
        <v>168</v>
      </c>
      <c r="F61" s="16" t="s">
        <v>169</v>
      </c>
      <c r="G61" s="22">
        <v>10300.5</v>
      </c>
      <c r="H61" s="18">
        <v>46028</v>
      </c>
      <c r="I61" s="15">
        <v>46051</v>
      </c>
      <c r="J61" s="16" t="s">
        <v>172</v>
      </c>
      <c r="K61" s="16" t="s">
        <v>170</v>
      </c>
      <c r="L61" s="16" t="s">
        <v>102</v>
      </c>
      <c r="M61" s="15">
        <f>Таблица1[[#This Row],[Дата окончания ]]-7</f>
        <v>46044</v>
      </c>
      <c r="N61" s="18">
        <f>Таблица1[[#This Row],[Дата окончания ]]-5</f>
        <v>46046</v>
      </c>
      <c r="O61" s="15">
        <f>Таблица1[[#This Row],[Дата окончания ]]-1</f>
        <v>46050</v>
      </c>
    </row>
    <row r="62" spans="1:16" s="24" customFormat="1" ht="62" x14ac:dyDescent="0.35">
      <c r="A62" s="29" t="s">
        <v>158</v>
      </c>
      <c r="B62" s="23" t="s">
        <v>216</v>
      </c>
      <c r="C62" s="25" t="s">
        <v>116</v>
      </c>
      <c r="D62" s="25" t="s">
        <v>115</v>
      </c>
      <c r="E62" s="25" t="s">
        <v>139</v>
      </c>
      <c r="F62" s="25" t="s">
        <v>118</v>
      </c>
      <c r="G62" s="21">
        <v>18708.600000000006</v>
      </c>
      <c r="H62" s="28">
        <v>45994</v>
      </c>
      <c r="I62" s="18">
        <v>46051</v>
      </c>
      <c r="J62" s="25" t="s">
        <v>117</v>
      </c>
      <c r="K62" s="25" t="s">
        <v>110</v>
      </c>
      <c r="L62" s="25" t="s">
        <v>153</v>
      </c>
      <c r="M62" s="15">
        <f>Таблица1[[#This Row],[Дата окончания ]]-7</f>
        <v>46044</v>
      </c>
      <c r="N62" s="18">
        <f>Таблица1[[#This Row],[Дата окончания ]]-5</f>
        <v>46046</v>
      </c>
      <c r="O62" s="18">
        <f>Таблица1[[#This Row],[Дата окончания ]]-1</f>
        <v>46050</v>
      </c>
      <c r="P62" s="16"/>
    </row>
    <row r="63" spans="1:16" ht="31" x14ac:dyDescent="0.35">
      <c r="A63" s="6" t="s">
        <v>217</v>
      </c>
      <c r="B63" s="14" t="s">
        <v>218</v>
      </c>
      <c r="C63" s="27" t="s">
        <v>96</v>
      </c>
      <c r="D63" s="25" t="s">
        <v>97</v>
      </c>
      <c r="E63" s="27" t="s">
        <v>98</v>
      </c>
      <c r="F63" s="27" t="s">
        <v>99</v>
      </c>
      <c r="G63" s="22">
        <v>3264.4</v>
      </c>
      <c r="H63" s="34">
        <v>46032</v>
      </c>
      <c r="I63" s="15">
        <v>46052</v>
      </c>
      <c r="J63" s="27" t="s">
        <v>125</v>
      </c>
      <c r="K63" s="27" t="s">
        <v>101</v>
      </c>
      <c r="L63" s="27" t="s">
        <v>102</v>
      </c>
      <c r="M63" s="15">
        <f>Таблица1[[#This Row],[Дата окончания ]]-7</f>
        <v>46045</v>
      </c>
      <c r="N63" s="18">
        <f>Таблица1[[#This Row],[Дата окончания ]]-5</f>
        <v>46047</v>
      </c>
      <c r="O63" s="15">
        <f>Таблица1[[#This Row],[Дата окончания ]]-1</f>
        <v>46051</v>
      </c>
      <c r="P63" s="6"/>
    </row>
    <row r="64" spans="1:16" ht="31" x14ac:dyDescent="0.35">
      <c r="A64" s="16" t="s">
        <v>167</v>
      </c>
      <c r="B64" s="23" t="s">
        <v>219</v>
      </c>
      <c r="C64" s="16" t="s">
        <v>96</v>
      </c>
      <c r="D64" s="25" t="s">
        <v>97</v>
      </c>
      <c r="E64" s="16" t="s">
        <v>168</v>
      </c>
      <c r="F64" s="16" t="s">
        <v>169</v>
      </c>
      <c r="G64" s="22">
        <v>9009.5</v>
      </c>
      <c r="H64" s="18">
        <v>46028</v>
      </c>
      <c r="I64" s="15">
        <v>46052</v>
      </c>
      <c r="J64" s="16" t="s">
        <v>172</v>
      </c>
      <c r="K64" s="16" t="s">
        <v>170</v>
      </c>
      <c r="L64" s="16" t="s">
        <v>102</v>
      </c>
      <c r="M64" s="15">
        <f>Таблица1[[#This Row],[Дата окончания ]]-7</f>
        <v>46045</v>
      </c>
      <c r="N64" s="18">
        <f>Таблица1[[#This Row],[Дата окончания ]]-5</f>
        <v>46047</v>
      </c>
      <c r="O64" s="15">
        <f>Таблица1[[#This Row],[Дата окончания ]]-1</f>
        <v>46051</v>
      </c>
      <c r="P64" s="6"/>
    </row>
    <row r="65" spans="1:16" s="24" customFormat="1" ht="62" x14ac:dyDescent="0.35">
      <c r="A65" s="29" t="s">
        <v>158</v>
      </c>
      <c r="B65" s="23" t="s">
        <v>220</v>
      </c>
      <c r="C65" s="25" t="s">
        <v>116</v>
      </c>
      <c r="D65" s="25" t="s">
        <v>115</v>
      </c>
      <c r="E65" s="25" t="s">
        <v>139</v>
      </c>
      <c r="F65" s="25" t="s">
        <v>118</v>
      </c>
      <c r="G65" s="21">
        <v>18422.900000000001</v>
      </c>
      <c r="H65" s="28">
        <v>45994</v>
      </c>
      <c r="I65" s="18">
        <v>46052</v>
      </c>
      <c r="J65" s="25" t="s">
        <v>117</v>
      </c>
      <c r="K65" s="25" t="s">
        <v>110</v>
      </c>
      <c r="L65" s="25" t="s">
        <v>153</v>
      </c>
      <c r="M65" s="15">
        <f>Таблица1[[#This Row],[Дата окончания ]]-7</f>
        <v>46045</v>
      </c>
      <c r="N65" s="18">
        <f>Таблица1[[#This Row],[Дата окончания ]]-5</f>
        <v>46047</v>
      </c>
      <c r="O65" s="18">
        <f>Таблица1[[#This Row],[Дата окончания ]]-1</f>
        <v>46051</v>
      </c>
      <c r="P65" s="16"/>
    </row>
    <row r="66" spans="1:16" s="24" customFormat="1" ht="31" x14ac:dyDescent="0.35">
      <c r="A66" s="16" t="s">
        <v>167</v>
      </c>
      <c r="B66" s="23" t="s">
        <v>221</v>
      </c>
      <c r="C66" s="16" t="s">
        <v>96</v>
      </c>
      <c r="D66" s="25" t="s">
        <v>97</v>
      </c>
      <c r="E66" s="16" t="s">
        <v>168</v>
      </c>
      <c r="F66" s="16" t="s">
        <v>169</v>
      </c>
      <c r="G66" s="21">
        <v>8829</v>
      </c>
      <c r="H66" s="18">
        <v>46028</v>
      </c>
      <c r="I66" s="18">
        <v>46055</v>
      </c>
      <c r="J66" s="16" t="s">
        <v>172</v>
      </c>
      <c r="K66" s="16" t="s">
        <v>170</v>
      </c>
      <c r="L66" s="16" t="s">
        <v>102</v>
      </c>
      <c r="M66" s="15">
        <f>Таблица1[[#This Row],[Дата окончания ]]-7</f>
        <v>46048</v>
      </c>
      <c r="N66" s="18">
        <f>Таблица1[[#This Row],[Дата окончания ]]-5</f>
        <v>46050</v>
      </c>
      <c r="O66" s="18">
        <f>Таблица1[[#This Row],[Дата окончания ]]-1</f>
        <v>46054</v>
      </c>
      <c r="P66" s="16"/>
    </row>
    <row r="67" spans="1:16" s="24" customFormat="1" ht="31" x14ac:dyDescent="0.35">
      <c r="A67" s="16" t="s">
        <v>167</v>
      </c>
      <c r="B67" s="23" t="s">
        <v>222</v>
      </c>
      <c r="C67" s="16" t="s">
        <v>96</v>
      </c>
      <c r="D67" s="25" t="s">
        <v>97</v>
      </c>
      <c r="E67" s="16" t="s">
        <v>168</v>
      </c>
      <c r="F67" s="16" t="s">
        <v>169</v>
      </c>
      <c r="G67" s="21">
        <v>8829</v>
      </c>
      <c r="H67" s="18">
        <v>46028</v>
      </c>
      <c r="I67" s="18">
        <v>46056</v>
      </c>
      <c r="J67" s="16" t="s">
        <v>172</v>
      </c>
      <c r="K67" s="16" t="s">
        <v>170</v>
      </c>
      <c r="L67" s="16" t="s">
        <v>102</v>
      </c>
      <c r="M67" s="15">
        <f>Таблица1[[#This Row],[Дата окончания ]]-7</f>
        <v>46049</v>
      </c>
      <c r="N67" s="18">
        <f>Таблица1[[#This Row],[Дата окончания ]]-5</f>
        <v>46051</v>
      </c>
      <c r="O67" s="18">
        <f>Таблица1[[#This Row],[Дата окончания ]]-1</f>
        <v>46055</v>
      </c>
      <c r="P67" s="16"/>
    </row>
    <row r="68" spans="1:16" ht="62" x14ac:dyDescent="0.35">
      <c r="A68" s="29" t="s">
        <v>158</v>
      </c>
      <c r="B68" s="23" t="s">
        <v>223</v>
      </c>
      <c r="C68" s="25" t="s">
        <v>116</v>
      </c>
      <c r="D68" s="25" t="s">
        <v>115</v>
      </c>
      <c r="E68" s="25" t="s">
        <v>139</v>
      </c>
      <c r="F68" s="25" t="s">
        <v>118</v>
      </c>
      <c r="G68" s="22">
        <v>17025.599999999999</v>
      </c>
      <c r="H68" s="28">
        <v>45994</v>
      </c>
      <c r="I68" s="18">
        <v>46057</v>
      </c>
      <c r="J68" s="25" t="s">
        <v>117</v>
      </c>
      <c r="K68" s="25" t="s">
        <v>110</v>
      </c>
      <c r="L68" s="25" t="s">
        <v>153</v>
      </c>
      <c r="M68" s="15">
        <f>Таблица1[[#This Row],[Дата окончания ]]-7</f>
        <v>46050</v>
      </c>
      <c r="N68" s="18">
        <f>Таблица1[[#This Row],[Дата окончания ]]-5</f>
        <v>46052</v>
      </c>
      <c r="O68" s="15">
        <f>Таблица1[[#This Row],[Дата окончания ]]-1</f>
        <v>46056</v>
      </c>
      <c r="P68" s="6"/>
    </row>
    <row r="69" spans="1:16" s="24" customFormat="1" ht="31" x14ac:dyDescent="0.35">
      <c r="A69" s="16" t="s">
        <v>167</v>
      </c>
      <c r="B69" s="23" t="s">
        <v>224</v>
      </c>
      <c r="C69" s="16" t="s">
        <v>96</v>
      </c>
      <c r="D69" s="25" t="s">
        <v>97</v>
      </c>
      <c r="E69" s="16" t="s">
        <v>168</v>
      </c>
      <c r="F69" s="16" t="s">
        <v>169</v>
      </c>
      <c r="G69" s="21">
        <v>12875.7</v>
      </c>
      <c r="H69" s="18">
        <v>46028</v>
      </c>
      <c r="I69" s="18">
        <v>46058</v>
      </c>
      <c r="J69" s="16" t="s">
        <v>172</v>
      </c>
      <c r="K69" s="16" t="s">
        <v>170</v>
      </c>
      <c r="L69" s="16" t="s">
        <v>102</v>
      </c>
      <c r="M69" s="15">
        <f>Таблица1[[#This Row],[Дата окончания ]]-7</f>
        <v>46051</v>
      </c>
      <c r="N69" s="18">
        <f>Таблица1[[#This Row],[Дата окончания ]]-5</f>
        <v>46053</v>
      </c>
      <c r="O69" s="18">
        <f>Таблица1[[#This Row],[Дата окончания ]]-1</f>
        <v>46057</v>
      </c>
      <c r="P69" s="16"/>
    </row>
    <row r="70" spans="1:16" ht="31" x14ac:dyDescent="0.35">
      <c r="A70" s="6" t="s">
        <v>217</v>
      </c>
      <c r="B70" s="14" t="s">
        <v>225</v>
      </c>
      <c r="C70" s="27" t="s">
        <v>96</v>
      </c>
      <c r="D70" s="25" t="s">
        <v>97</v>
      </c>
      <c r="E70" s="27" t="s">
        <v>98</v>
      </c>
      <c r="F70" s="27" t="s">
        <v>99</v>
      </c>
      <c r="G70" s="22">
        <v>3752.4</v>
      </c>
      <c r="H70" s="34">
        <v>46032</v>
      </c>
      <c r="I70" s="15">
        <v>46058</v>
      </c>
      <c r="J70" s="27" t="s">
        <v>125</v>
      </c>
      <c r="K70" s="27" t="s">
        <v>101</v>
      </c>
      <c r="L70" s="27" t="s">
        <v>102</v>
      </c>
      <c r="M70" s="15">
        <f>Таблица1[[#This Row],[Дата окончания ]]-7</f>
        <v>46051</v>
      </c>
      <c r="N70" s="18">
        <f>Таблица1[[#This Row],[Дата окончания ]]-5</f>
        <v>46053</v>
      </c>
      <c r="O70" s="15">
        <f>Таблица1[[#This Row],[Дата окончания ]]-1</f>
        <v>46057</v>
      </c>
      <c r="P70" s="6"/>
    </row>
    <row r="71" spans="1:16" ht="62" x14ac:dyDescent="0.35">
      <c r="A71" s="29" t="s">
        <v>158</v>
      </c>
      <c r="B71" s="23" t="s">
        <v>226</v>
      </c>
      <c r="C71" s="25" t="s">
        <v>116</v>
      </c>
      <c r="D71" s="25" t="s">
        <v>115</v>
      </c>
      <c r="E71" s="25" t="s">
        <v>139</v>
      </c>
      <c r="F71" s="25" t="s">
        <v>118</v>
      </c>
      <c r="G71" s="22">
        <v>17580.5</v>
      </c>
      <c r="H71" s="28">
        <v>45994</v>
      </c>
      <c r="I71" s="18">
        <v>46059</v>
      </c>
      <c r="J71" s="25" t="s">
        <v>117</v>
      </c>
      <c r="K71" s="25" t="s">
        <v>110</v>
      </c>
      <c r="L71" s="25" t="s">
        <v>153</v>
      </c>
      <c r="M71" s="15">
        <f>Таблица1[[#This Row],[Дата окончания ]]-7</f>
        <v>46052</v>
      </c>
      <c r="N71" s="18">
        <f>Таблица1[[#This Row],[Дата окончания ]]-5</f>
        <v>46054</v>
      </c>
      <c r="O71" s="15">
        <f>Таблица1[[#This Row],[Дата окончания ]]-1</f>
        <v>46058</v>
      </c>
      <c r="P71" s="6"/>
    </row>
    <row r="72" spans="1:16" ht="31" x14ac:dyDescent="0.35">
      <c r="A72" s="6" t="s">
        <v>167</v>
      </c>
      <c r="B72" s="23" t="s">
        <v>227</v>
      </c>
      <c r="C72" s="16" t="s">
        <v>96</v>
      </c>
      <c r="D72" s="25" t="s">
        <v>97</v>
      </c>
      <c r="E72" s="16" t="s">
        <v>168</v>
      </c>
      <c r="F72" s="16" t="s">
        <v>169</v>
      </c>
      <c r="G72" s="22">
        <v>9327.1</v>
      </c>
      <c r="H72" s="18">
        <v>46028</v>
      </c>
      <c r="I72" s="15">
        <v>46059</v>
      </c>
      <c r="J72" s="16" t="s">
        <v>172</v>
      </c>
      <c r="K72" s="16" t="s">
        <v>170</v>
      </c>
      <c r="L72" s="16" t="s">
        <v>102</v>
      </c>
      <c r="M72" s="15">
        <f>Таблица1[[#This Row],[Дата окончания ]]-7</f>
        <v>46052</v>
      </c>
      <c r="N72" s="18">
        <f>Таблица1[[#This Row],[Дата окончания ]]-5</f>
        <v>46054</v>
      </c>
      <c r="O72" s="15">
        <f>Таблица1[[#This Row],[Дата окончания ]]-1</f>
        <v>46058</v>
      </c>
      <c r="P72" s="6"/>
    </row>
    <row r="73" spans="1:16" ht="31" x14ac:dyDescent="0.35">
      <c r="A73" s="6" t="s">
        <v>217</v>
      </c>
      <c r="B73" s="14" t="s">
        <v>228</v>
      </c>
      <c r="C73" s="27" t="s">
        <v>96</v>
      </c>
      <c r="D73" s="25" t="s">
        <v>97</v>
      </c>
      <c r="E73" s="27" t="s">
        <v>98</v>
      </c>
      <c r="F73" s="27" t="s">
        <v>99</v>
      </c>
      <c r="G73" s="22">
        <v>5402.1</v>
      </c>
      <c r="H73" s="34">
        <v>46032</v>
      </c>
      <c r="I73" s="15">
        <v>46059</v>
      </c>
      <c r="J73" s="27" t="s">
        <v>125</v>
      </c>
      <c r="K73" s="27" t="s">
        <v>101</v>
      </c>
      <c r="L73" s="27" t="s">
        <v>102</v>
      </c>
      <c r="M73" s="15">
        <f>Таблица1[[#This Row],[Дата окончания ]]-7</f>
        <v>46052</v>
      </c>
      <c r="N73" s="18">
        <f>Таблица1[[#This Row],[Дата окончания ]]-5</f>
        <v>46054</v>
      </c>
      <c r="O73" s="15">
        <f>Таблица1[[#This Row],[Дата окончания ]]-1</f>
        <v>46058</v>
      </c>
      <c r="P73" s="6"/>
    </row>
    <row r="74" spans="1:16" ht="31" x14ac:dyDescent="0.35">
      <c r="A74" s="6" t="s">
        <v>167</v>
      </c>
      <c r="B74" s="23" t="s">
        <v>229</v>
      </c>
      <c r="C74" s="16" t="s">
        <v>96</v>
      </c>
      <c r="D74" s="25" t="s">
        <v>97</v>
      </c>
      <c r="E74" s="16" t="s">
        <v>168</v>
      </c>
      <c r="F74" s="16" t="s">
        <v>169</v>
      </c>
      <c r="G74" s="22">
        <v>12930.2</v>
      </c>
      <c r="H74" s="18">
        <v>46028</v>
      </c>
      <c r="I74" s="15">
        <v>46059</v>
      </c>
      <c r="J74" s="16" t="s">
        <v>172</v>
      </c>
      <c r="K74" s="16" t="s">
        <v>170</v>
      </c>
      <c r="L74" s="16" t="s">
        <v>102</v>
      </c>
      <c r="M74" s="15">
        <f>Таблица1[[#This Row],[Дата окончания ]]-7</f>
        <v>46052</v>
      </c>
      <c r="N74" s="18">
        <f>Таблица1[[#This Row],[Дата окончания ]]-5</f>
        <v>46054</v>
      </c>
      <c r="O74" s="15">
        <f>Таблица1[[#This Row],[Дата окончания ]]-1</f>
        <v>46058</v>
      </c>
      <c r="P74" s="6"/>
    </row>
    <row r="75" spans="1:16" ht="31" x14ac:dyDescent="0.35">
      <c r="A75" s="6" t="s">
        <v>217</v>
      </c>
      <c r="B75" s="14" t="s">
        <v>230</v>
      </c>
      <c r="C75" s="27" t="s">
        <v>96</v>
      </c>
      <c r="D75" s="25" t="s">
        <v>97</v>
      </c>
      <c r="E75" s="27" t="s">
        <v>98</v>
      </c>
      <c r="F75" s="27" t="s">
        <v>99</v>
      </c>
      <c r="G75" s="22">
        <v>3906.3</v>
      </c>
      <c r="H75" s="34">
        <v>46032</v>
      </c>
      <c r="I75" s="15">
        <v>46059</v>
      </c>
      <c r="J75" s="27" t="s">
        <v>125</v>
      </c>
      <c r="K75" s="27" t="s">
        <v>101</v>
      </c>
      <c r="L75" s="27" t="s">
        <v>102</v>
      </c>
      <c r="M75" s="15">
        <f>Таблица1[[#This Row],[Дата окончания ]]-7</f>
        <v>46052</v>
      </c>
      <c r="N75" s="18">
        <f>Таблица1[[#This Row],[Дата окончания ]]-5</f>
        <v>46054</v>
      </c>
      <c r="O75" s="15">
        <f>Таблица1[[#This Row],[Дата окончания ]]-1</f>
        <v>46058</v>
      </c>
      <c r="P75" s="6"/>
    </row>
    <row r="76" spans="1:16" ht="31" x14ac:dyDescent="0.35">
      <c r="A76" s="6" t="s">
        <v>231</v>
      </c>
      <c r="B76" s="14" t="s">
        <v>157</v>
      </c>
      <c r="C76" s="6" t="s">
        <v>232</v>
      </c>
      <c r="D76" s="6" t="s">
        <v>233</v>
      </c>
      <c r="E76" s="6" t="s">
        <v>234</v>
      </c>
      <c r="F76" s="6" t="s">
        <v>235</v>
      </c>
      <c r="G76" s="22">
        <v>10513.5</v>
      </c>
      <c r="H76" s="15">
        <v>46053</v>
      </c>
      <c r="I76" s="15">
        <v>46062</v>
      </c>
      <c r="J76" s="6" t="s">
        <v>236</v>
      </c>
      <c r="K76" s="6" t="s">
        <v>237</v>
      </c>
      <c r="L76" s="6" t="s">
        <v>238</v>
      </c>
      <c r="M76" s="15">
        <f>Таблица1[[#This Row],[Дата окончания ]]-7</f>
        <v>46055</v>
      </c>
      <c r="N76" s="18">
        <f>Таблица1[[#This Row],[Дата окончания ]]-5</f>
        <v>46057</v>
      </c>
      <c r="O76" s="15">
        <f>Таблица1[[#This Row],[Дата окончания ]]-1</f>
        <v>46061</v>
      </c>
      <c r="P76" s="6"/>
    </row>
    <row r="77" spans="1:16" ht="31" x14ac:dyDescent="0.35">
      <c r="A77" s="6" t="s">
        <v>167</v>
      </c>
      <c r="B77" s="14" t="s">
        <v>239</v>
      </c>
      <c r="C77" s="16" t="s">
        <v>96</v>
      </c>
      <c r="D77" s="25" t="s">
        <v>97</v>
      </c>
      <c r="E77" s="16" t="s">
        <v>168</v>
      </c>
      <c r="F77" s="16" t="s">
        <v>169</v>
      </c>
      <c r="G77" s="22">
        <v>17907.7</v>
      </c>
      <c r="H77" s="18">
        <v>46028</v>
      </c>
      <c r="I77" s="15">
        <v>46062</v>
      </c>
      <c r="J77" s="16" t="s">
        <v>172</v>
      </c>
      <c r="K77" s="16" t="s">
        <v>170</v>
      </c>
      <c r="L77" s="16" t="s">
        <v>102</v>
      </c>
      <c r="M77" s="15">
        <f>Таблица1[[#This Row],[Дата окончания ]]-7</f>
        <v>46055</v>
      </c>
      <c r="N77" s="18">
        <f>Таблица1[[#This Row],[Дата окончания ]]-5</f>
        <v>46057</v>
      </c>
      <c r="O77" s="15">
        <f>Таблица1[[#This Row],[Дата окончания ]]-1</f>
        <v>46061</v>
      </c>
      <c r="P77" s="6"/>
    </row>
    <row r="78" spans="1:16" ht="31" x14ac:dyDescent="0.35">
      <c r="A78" s="6" t="s">
        <v>217</v>
      </c>
      <c r="B78" s="14" t="s">
        <v>240</v>
      </c>
      <c r="C78" s="27" t="s">
        <v>96</v>
      </c>
      <c r="D78" s="25" t="s">
        <v>97</v>
      </c>
      <c r="E78" s="27" t="s">
        <v>98</v>
      </c>
      <c r="F78" s="27" t="s">
        <v>99</v>
      </c>
      <c r="G78" s="22">
        <v>1230</v>
      </c>
      <c r="H78" s="34">
        <v>46032</v>
      </c>
      <c r="I78" s="15">
        <v>46062</v>
      </c>
      <c r="J78" s="27" t="s">
        <v>125</v>
      </c>
      <c r="K78" s="27" t="s">
        <v>101</v>
      </c>
      <c r="L78" s="27" t="s">
        <v>102</v>
      </c>
      <c r="M78" s="15">
        <f>Таблица1[[#This Row],[Дата окончания ]]-7</f>
        <v>46055</v>
      </c>
      <c r="N78" s="18">
        <f>Таблица1[[#This Row],[Дата окончания ]]-5</f>
        <v>46057</v>
      </c>
      <c r="O78" s="15">
        <f>Таблица1[[#This Row],[Дата окончания ]]-1</f>
        <v>46061</v>
      </c>
      <c r="P78" s="6"/>
    </row>
    <row r="79" spans="1:16" ht="31" x14ac:dyDescent="0.35">
      <c r="A79" s="16" t="s">
        <v>167</v>
      </c>
      <c r="B79" s="14" t="s">
        <v>241</v>
      </c>
      <c r="C79" s="16" t="s">
        <v>96</v>
      </c>
      <c r="D79" s="25" t="s">
        <v>97</v>
      </c>
      <c r="E79" s="16" t="s">
        <v>168</v>
      </c>
      <c r="F79" s="16" t="s">
        <v>169</v>
      </c>
      <c r="G79" s="22">
        <v>20461.599999999999</v>
      </c>
      <c r="H79" s="18">
        <v>46028</v>
      </c>
      <c r="I79" s="15">
        <v>46063</v>
      </c>
      <c r="J79" s="16" t="s">
        <v>172</v>
      </c>
      <c r="K79" s="16" t="s">
        <v>170</v>
      </c>
      <c r="L79" s="16" t="s">
        <v>102</v>
      </c>
      <c r="M79" s="15">
        <f>Таблица1[[#This Row],[Дата окончания ]]-7</f>
        <v>46056</v>
      </c>
      <c r="N79" s="18">
        <f>Таблица1[[#This Row],[Дата окончания ]]-5</f>
        <v>46058</v>
      </c>
      <c r="O79" s="15">
        <f>Таблица1[[#This Row],[Дата окончания ]]-1</f>
        <v>46062</v>
      </c>
      <c r="P79" s="6"/>
    </row>
    <row r="80" spans="1:16" ht="31" x14ac:dyDescent="0.35">
      <c r="A80" s="6" t="s">
        <v>217</v>
      </c>
      <c r="B80" s="14" t="s">
        <v>243</v>
      </c>
      <c r="C80" s="27" t="s">
        <v>96</v>
      </c>
      <c r="D80" s="25" t="s">
        <v>97</v>
      </c>
      <c r="E80" s="27" t="s">
        <v>98</v>
      </c>
      <c r="F80" s="27" t="s">
        <v>99</v>
      </c>
      <c r="G80" s="22">
        <v>143.6</v>
      </c>
      <c r="H80" s="34">
        <v>46032</v>
      </c>
      <c r="I80" s="15">
        <v>46064</v>
      </c>
      <c r="J80" s="27" t="s">
        <v>125</v>
      </c>
      <c r="K80" s="27" t="s">
        <v>101</v>
      </c>
      <c r="L80" s="27" t="s">
        <v>102</v>
      </c>
      <c r="M80" s="15">
        <f>Таблица1[[#This Row],[Дата окончания ]]-7</f>
        <v>46057</v>
      </c>
      <c r="N80" s="18">
        <f>Таблица1[[#This Row],[Дата окончания ]]-5</f>
        <v>46059</v>
      </c>
      <c r="O80" s="15">
        <f>Таблица1[[#This Row],[Дата окончания ]]-1</f>
        <v>46063</v>
      </c>
      <c r="P80" s="6"/>
    </row>
    <row r="81" spans="1:17" ht="31" x14ac:dyDescent="0.35">
      <c r="A81" s="16" t="s">
        <v>167</v>
      </c>
      <c r="B81" s="14" t="s">
        <v>242</v>
      </c>
      <c r="C81" s="16" t="s">
        <v>96</v>
      </c>
      <c r="D81" s="25" t="s">
        <v>97</v>
      </c>
      <c r="E81" s="16" t="s">
        <v>168</v>
      </c>
      <c r="F81" s="16" t="s">
        <v>169</v>
      </c>
      <c r="G81" s="22">
        <v>17494.8</v>
      </c>
      <c r="H81" s="18">
        <v>46028</v>
      </c>
      <c r="I81" s="15">
        <v>46064</v>
      </c>
      <c r="J81" s="16" t="s">
        <v>172</v>
      </c>
      <c r="K81" s="16" t="s">
        <v>170</v>
      </c>
      <c r="L81" s="16" t="s">
        <v>102</v>
      </c>
      <c r="M81" s="15">
        <f>Таблица1[[#This Row],[Дата окончания ]]-7</f>
        <v>46057</v>
      </c>
      <c r="N81" s="18">
        <f>Таблица1[[#This Row],[Дата окончания ]]-5</f>
        <v>46059</v>
      </c>
      <c r="O81" s="15">
        <f>Таблица1[[#This Row],[Дата окончания ]]-1</f>
        <v>46063</v>
      </c>
      <c r="P81" s="6"/>
    </row>
    <row r="82" spans="1:17" ht="31" x14ac:dyDescent="0.35">
      <c r="A82" s="16" t="s">
        <v>167</v>
      </c>
      <c r="B82" s="14" t="s">
        <v>244</v>
      </c>
      <c r="C82" s="16" t="s">
        <v>96</v>
      </c>
      <c r="D82" s="25" t="s">
        <v>97</v>
      </c>
      <c r="E82" s="16" t="s">
        <v>168</v>
      </c>
      <c r="F82" s="16" t="s">
        <v>169</v>
      </c>
      <c r="G82" s="22">
        <v>13379.9</v>
      </c>
      <c r="H82" s="18">
        <v>46028</v>
      </c>
      <c r="I82" s="15">
        <v>46065</v>
      </c>
      <c r="J82" s="16" t="s">
        <v>172</v>
      </c>
      <c r="K82" s="16" t="s">
        <v>170</v>
      </c>
      <c r="L82" s="16" t="s">
        <v>102</v>
      </c>
      <c r="M82" s="15">
        <f>Таблица1[[#This Row],[Дата окончания ]]-7</f>
        <v>46058</v>
      </c>
      <c r="N82" s="18">
        <f>Таблица1[[#This Row],[Дата окончания ]]-5</f>
        <v>46060</v>
      </c>
      <c r="O82" s="15">
        <f>Таблица1[[#This Row],[Дата окончания ]]-1</f>
        <v>46064</v>
      </c>
      <c r="P82" s="6"/>
    </row>
    <row r="83" spans="1:17" ht="31" x14ac:dyDescent="0.35">
      <c r="A83" s="16" t="s">
        <v>167</v>
      </c>
      <c r="B83" s="14" t="s">
        <v>245</v>
      </c>
      <c r="C83" s="16" t="s">
        <v>96</v>
      </c>
      <c r="D83" s="25" t="s">
        <v>97</v>
      </c>
      <c r="E83" s="16" t="s">
        <v>168</v>
      </c>
      <c r="F83" s="16" t="s">
        <v>169</v>
      </c>
      <c r="G83" s="22">
        <v>13173.1</v>
      </c>
      <c r="H83" s="18">
        <v>46028</v>
      </c>
      <c r="I83" s="15">
        <v>46066</v>
      </c>
      <c r="J83" s="16" t="s">
        <v>172</v>
      </c>
      <c r="K83" s="16" t="s">
        <v>170</v>
      </c>
      <c r="L83" s="16" t="s">
        <v>102</v>
      </c>
      <c r="M83" s="15">
        <f>Таблица1[[#This Row],[Дата окончания ]]-7</f>
        <v>46059</v>
      </c>
      <c r="N83" s="18">
        <f>Таблица1[[#This Row],[Дата окончания ]]-5</f>
        <v>46061</v>
      </c>
      <c r="O83" s="15">
        <f>Таблица1[[#This Row],[Дата окончания ]]-1</f>
        <v>46065</v>
      </c>
      <c r="P83" s="6"/>
    </row>
    <row r="84" spans="1:17" ht="31" x14ac:dyDescent="0.35">
      <c r="A84" s="6" t="s">
        <v>217</v>
      </c>
      <c r="B84" s="14" t="s">
        <v>246</v>
      </c>
      <c r="C84" s="27" t="s">
        <v>96</v>
      </c>
      <c r="D84" s="25" t="s">
        <v>97</v>
      </c>
      <c r="E84" s="27" t="s">
        <v>98</v>
      </c>
      <c r="F84" s="27" t="s">
        <v>99</v>
      </c>
      <c r="G84" s="22">
        <v>1296.4000000000001</v>
      </c>
      <c r="H84" s="34">
        <v>46032</v>
      </c>
      <c r="I84" s="15">
        <v>46066</v>
      </c>
      <c r="J84" s="27" t="s">
        <v>125</v>
      </c>
      <c r="K84" s="27" t="s">
        <v>101</v>
      </c>
      <c r="L84" s="27" t="s">
        <v>102</v>
      </c>
      <c r="M84" s="15">
        <f>Таблица1[[#This Row],[Дата окончания ]]-7</f>
        <v>46059</v>
      </c>
      <c r="N84" s="18">
        <f>Таблица1[[#This Row],[Дата окончания ]]-5</f>
        <v>46061</v>
      </c>
      <c r="O84" s="15">
        <f>Таблица1[[#This Row],[Дата окончания ]]-1</f>
        <v>46065</v>
      </c>
      <c r="P84" s="6"/>
    </row>
    <row r="85" spans="1:17" ht="31" x14ac:dyDescent="0.35">
      <c r="A85" s="16" t="s">
        <v>167</v>
      </c>
      <c r="B85" s="14" t="s">
        <v>247</v>
      </c>
      <c r="C85" s="16" t="s">
        <v>96</v>
      </c>
      <c r="D85" s="25" t="s">
        <v>97</v>
      </c>
      <c r="E85" s="16" t="s">
        <v>168</v>
      </c>
      <c r="F85" s="16" t="s">
        <v>169</v>
      </c>
      <c r="G85" s="22">
        <v>15527.3</v>
      </c>
      <c r="H85" s="18">
        <v>46028</v>
      </c>
      <c r="I85" s="15">
        <v>46066</v>
      </c>
      <c r="J85" s="16" t="s">
        <v>172</v>
      </c>
      <c r="K85" s="16" t="s">
        <v>170</v>
      </c>
      <c r="L85" s="16" t="s">
        <v>102</v>
      </c>
      <c r="M85" s="15">
        <f>Таблица1[[#This Row],[Дата окончания ]]-7</f>
        <v>46059</v>
      </c>
      <c r="N85" s="18">
        <f>Таблица1[[#This Row],[Дата окончания ]]-5</f>
        <v>46061</v>
      </c>
      <c r="O85" s="15">
        <f>Таблица1[[#This Row],[Дата окончания ]]-1</f>
        <v>46065</v>
      </c>
      <c r="P85" s="6"/>
    </row>
    <row r="86" spans="1:17" ht="62" x14ac:dyDescent="0.35">
      <c r="A86" s="29" t="s">
        <v>158</v>
      </c>
      <c r="B86" s="23" t="s">
        <v>140</v>
      </c>
      <c r="C86" s="25" t="s">
        <v>116</v>
      </c>
      <c r="D86" s="25" t="s">
        <v>115</v>
      </c>
      <c r="E86" s="25" t="s">
        <v>139</v>
      </c>
      <c r="F86" s="25" t="s">
        <v>118</v>
      </c>
      <c r="G86" s="22">
        <v>16231.2</v>
      </c>
      <c r="H86" s="28">
        <v>45994</v>
      </c>
      <c r="I86" s="18">
        <v>46066</v>
      </c>
      <c r="J86" s="25" t="s">
        <v>117</v>
      </c>
      <c r="K86" s="25" t="s">
        <v>110</v>
      </c>
      <c r="L86" s="25" t="s">
        <v>153</v>
      </c>
      <c r="M86" s="15">
        <f>Таблица1[[#This Row],[Дата окончания ]]-7</f>
        <v>46059</v>
      </c>
      <c r="N86" s="18">
        <f>Таблица1[[#This Row],[Дата окончания ]]-5</f>
        <v>46061</v>
      </c>
      <c r="O86" s="15">
        <f>Таблица1[[#This Row],[Дата окончания ]]-1</f>
        <v>46065</v>
      </c>
      <c r="P86" s="6"/>
    </row>
    <row r="87" spans="1:17" s="24" customFormat="1" ht="31" x14ac:dyDescent="0.35">
      <c r="A87" s="16" t="s">
        <v>167</v>
      </c>
      <c r="B87" s="23" t="s">
        <v>248</v>
      </c>
      <c r="C87" s="16" t="s">
        <v>96</v>
      </c>
      <c r="D87" s="25" t="s">
        <v>97</v>
      </c>
      <c r="E87" s="16" t="s">
        <v>168</v>
      </c>
      <c r="F87" s="16" t="s">
        <v>169</v>
      </c>
      <c r="G87" s="21">
        <v>19100</v>
      </c>
      <c r="H87" s="18">
        <v>46028</v>
      </c>
      <c r="I87" s="18">
        <v>46069</v>
      </c>
      <c r="J87" s="16" t="s">
        <v>172</v>
      </c>
      <c r="K87" s="16" t="s">
        <v>170</v>
      </c>
      <c r="L87" s="16" t="s">
        <v>102</v>
      </c>
      <c r="M87" s="15">
        <f>Таблица1[[#This Row],[Дата окончания ]]-7</f>
        <v>46062</v>
      </c>
      <c r="N87" s="18">
        <f>Таблица1[[#This Row],[Дата окончания ]]-5</f>
        <v>46064</v>
      </c>
      <c r="O87" s="18">
        <f>Таблица1[[#This Row],[Дата окончания ]]-1</f>
        <v>46068</v>
      </c>
      <c r="P87" s="16"/>
    </row>
    <row r="88" spans="1:17" ht="31" x14ac:dyDescent="0.35">
      <c r="A88" s="16" t="s">
        <v>167</v>
      </c>
      <c r="B88" s="23" t="s">
        <v>249</v>
      </c>
      <c r="C88" s="16" t="s">
        <v>96</v>
      </c>
      <c r="D88" s="25" t="s">
        <v>97</v>
      </c>
      <c r="E88" s="16" t="s">
        <v>168</v>
      </c>
      <c r="F88" s="16" t="s">
        <v>169</v>
      </c>
      <c r="G88" s="22">
        <v>19265.599999999999</v>
      </c>
      <c r="H88" s="18">
        <v>46028</v>
      </c>
      <c r="I88" s="15">
        <v>46070</v>
      </c>
      <c r="J88" s="16" t="s">
        <v>172</v>
      </c>
      <c r="K88" s="16" t="s">
        <v>170</v>
      </c>
      <c r="L88" s="16" t="s">
        <v>102</v>
      </c>
      <c r="M88" s="15">
        <f>Таблица1[[#This Row],[Дата окончания ]]-7</f>
        <v>46063</v>
      </c>
      <c r="N88" s="18">
        <f>Таблица1[[#This Row],[Дата окончания ]]-5</f>
        <v>46065</v>
      </c>
      <c r="O88" s="15">
        <f>Таблица1[[#This Row],[Дата окончания ]]-1</f>
        <v>46069</v>
      </c>
      <c r="P88" s="6"/>
    </row>
    <row r="89" spans="1:17" ht="31" x14ac:dyDescent="0.35">
      <c r="A89" s="6" t="s">
        <v>217</v>
      </c>
      <c r="B89" s="14" t="s">
        <v>250</v>
      </c>
      <c r="C89" s="27" t="s">
        <v>96</v>
      </c>
      <c r="D89" s="25" t="s">
        <v>97</v>
      </c>
      <c r="E89" s="27" t="s">
        <v>98</v>
      </c>
      <c r="F89" s="27" t="s">
        <v>99</v>
      </c>
      <c r="G89" s="22">
        <v>1236.8</v>
      </c>
      <c r="H89" s="34">
        <v>46032</v>
      </c>
      <c r="I89" s="15">
        <v>46072</v>
      </c>
      <c r="J89" s="27" t="s">
        <v>125</v>
      </c>
      <c r="K89" s="27" t="s">
        <v>101</v>
      </c>
      <c r="L89" s="27" t="s">
        <v>102</v>
      </c>
      <c r="M89" s="15">
        <f>Таблица1[[#This Row],[Дата окончания ]]-7</f>
        <v>46065</v>
      </c>
      <c r="N89" s="18">
        <f>Таблица1[[#This Row],[Дата окончания ]]-5</f>
        <v>46067</v>
      </c>
      <c r="O89" s="15">
        <f>Таблица1[[#This Row],[Дата окончания ]]-1</f>
        <v>46071</v>
      </c>
      <c r="P89" s="6"/>
      <c r="Q89" s="13" t="s">
        <v>254</v>
      </c>
    </row>
    <row r="90" spans="1:17" ht="31" x14ac:dyDescent="0.35">
      <c r="A90" s="16" t="s">
        <v>167</v>
      </c>
      <c r="B90" s="23" t="s">
        <v>251</v>
      </c>
      <c r="C90" s="16" t="s">
        <v>96</v>
      </c>
      <c r="D90" s="25" t="s">
        <v>97</v>
      </c>
      <c r="E90" s="16" t="s">
        <v>168</v>
      </c>
      <c r="F90" s="16" t="s">
        <v>169</v>
      </c>
      <c r="G90" s="22">
        <v>18268.7</v>
      </c>
      <c r="H90" s="18">
        <v>46028</v>
      </c>
      <c r="I90" s="15">
        <v>46072</v>
      </c>
      <c r="J90" s="16" t="s">
        <v>172</v>
      </c>
      <c r="K90" s="16" t="s">
        <v>170</v>
      </c>
      <c r="L90" s="16" t="s">
        <v>102</v>
      </c>
      <c r="M90" s="15">
        <f>Таблица1[[#This Row],[Дата окончания ]]-7</f>
        <v>46065</v>
      </c>
      <c r="N90" s="18">
        <f>Таблица1[[#This Row],[Дата окончания ]]-5</f>
        <v>46067</v>
      </c>
      <c r="O90" s="15">
        <f>Таблица1[[#This Row],[Дата окончания ]]-1</f>
        <v>46071</v>
      </c>
      <c r="P90" s="6"/>
      <c r="Q90" s="13" t="s">
        <v>254</v>
      </c>
    </row>
    <row r="91" spans="1:17" ht="31" x14ac:dyDescent="0.35">
      <c r="A91" s="6" t="s">
        <v>217</v>
      </c>
      <c r="B91" s="14" t="s">
        <v>253</v>
      </c>
      <c r="C91" s="27" t="s">
        <v>96</v>
      </c>
      <c r="D91" s="25" t="s">
        <v>97</v>
      </c>
      <c r="E91" s="27" t="s">
        <v>98</v>
      </c>
      <c r="F91" s="27" t="s">
        <v>99</v>
      </c>
      <c r="G91" s="22">
        <v>97.9</v>
      </c>
      <c r="H91" s="34">
        <v>46032</v>
      </c>
      <c r="I91" s="15">
        <v>46072</v>
      </c>
      <c r="J91" s="27" t="s">
        <v>125</v>
      </c>
      <c r="K91" s="27" t="s">
        <v>101</v>
      </c>
      <c r="L91" s="27" t="s">
        <v>102</v>
      </c>
      <c r="M91" s="15">
        <f>Таблица1[[#This Row],[Дата окончания ]]-7</f>
        <v>46065</v>
      </c>
      <c r="N91" s="18">
        <f>Таблица1[[#This Row],[Дата окончания ]]-5</f>
        <v>46067</v>
      </c>
      <c r="O91" s="15">
        <f>Таблица1[[#This Row],[Дата окончания ]]-1</f>
        <v>46071</v>
      </c>
      <c r="P91" s="6"/>
      <c r="Q91" s="13" t="s">
        <v>254</v>
      </c>
    </row>
    <row r="92" spans="1:17" ht="31" x14ac:dyDescent="0.35">
      <c r="A92" s="16" t="s">
        <v>167</v>
      </c>
      <c r="B92" s="23" t="s">
        <v>252</v>
      </c>
      <c r="C92" s="16" t="s">
        <v>96</v>
      </c>
      <c r="D92" s="25" t="s">
        <v>97</v>
      </c>
      <c r="E92" s="16" t="s">
        <v>168</v>
      </c>
      <c r="F92" s="16" t="s">
        <v>169</v>
      </c>
      <c r="G92" s="22">
        <v>17534.3</v>
      </c>
      <c r="H92" s="18">
        <v>46028</v>
      </c>
      <c r="I92" s="15">
        <v>46072</v>
      </c>
      <c r="J92" s="16" t="s">
        <v>172</v>
      </c>
      <c r="K92" s="16" t="s">
        <v>170</v>
      </c>
      <c r="L92" s="16" t="s">
        <v>102</v>
      </c>
      <c r="M92" s="15">
        <f>Таблица1[[#This Row],[Дата окончания ]]-7</f>
        <v>46065</v>
      </c>
      <c r="N92" s="18">
        <f>Таблица1[[#This Row],[Дата окончания ]]-5</f>
        <v>46067</v>
      </c>
      <c r="O92" s="15">
        <f>Таблица1[[#This Row],[Дата окончания ]]-1</f>
        <v>46071</v>
      </c>
      <c r="P92" s="6"/>
      <c r="Q92" s="13" t="s">
        <v>254</v>
      </c>
    </row>
    <row r="93" spans="1:17" ht="31" x14ac:dyDescent="0.35">
      <c r="A93" s="6" t="s">
        <v>217</v>
      </c>
      <c r="B93" s="14" t="s">
        <v>255</v>
      </c>
      <c r="C93" s="27" t="s">
        <v>96</v>
      </c>
      <c r="D93" s="25" t="s">
        <v>97</v>
      </c>
      <c r="E93" s="27" t="s">
        <v>98</v>
      </c>
      <c r="F93" s="27" t="s">
        <v>99</v>
      </c>
      <c r="G93" s="22">
        <v>4203.8</v>
      </c>
      <c r="H93" s="34">
        <v>46032</v>
      </c>
      <c r="I93" s="15">
        <v>46072</v>
      </c>
      <c r="J93" s="27" t="s">
        <v>125</v>
      </c>
      <c r="K93" s="27" t="s">
        <v>101</v>
      </c>
      <c r="L93" s="27" t="s">
        <v>102</v>
      </c>
      <c r="M93" s="15">
        <f>Таблица1[[#This Row],[Дата окончания ]]-7</f>
        <v>46065</v>
      </c>
      <c r="N93" s="18">
        <f>Таблица1[[#This Row],[Дата окончания ]]-5</f>
        <v>46067</v>
      </c>
      <c r="O93" s="15">
        <f>Таблица1[[#This Row],[Дата окончания ]]-1</f>
        <v>46071</v>
      </c>
      <c r="P93" s="6"/>
      <c r="Q93" s="13" t="s">
        <v>257</v>
      </c>
    </row>
    <row r="94" spans="1:17" ht="31" x14ac:dyDescent="0.35">
      <c r="A94" s="16" t="s">
        <v>167</v>
      </c>
      <c r="B94" s="23" t="s">
        <v>256</v>
      </c>
      <c r="C94" s="16" t="s">
        <v>96</v>
      </c>
      <c r="D94" s="25" t="s">
        <v>97</v>
      </c>
      <c r="E94" s="16" t="s">
        <v>168</v>
      </c>
      <c r="F94" s="16" t="s">
        <v>169</v>
      </c>
      <c r="G94" s="22">
        <v>10670</v>
      </c>
      <c r="H94" s="18">
        <v>46028</v>
      </c>
      <c r="I94" s="15">
        <v>46072</v>
      </c>
      <c r="J94" s="16" t="s">
        <v>172</v>
      </c>
      <c r="K94" s="16" t="s">
        <v>170</v>
      </c>
      <c r="L94" s="16" t="s">
        <v>102</v>
      </c>
      <c r="M94" s="15">
        <f>Таблица1[[#This Row],[Дата окончания ]]-7</f>
        <v>46065</v>
      </c>
      <c r="N94" s="18">
        <f>Таблица1[[#This Row],[Дата окончания ]]-5</f>
        <v>46067</v>
      </c>
      <c r="O94" s="15">
        <f>Таблица1[[#This Row],[Дата окончания ]]-1</f>
        <v>46071</v>
      </c>
      <c r="P94" s="6"/>
      <c r="Q94" s="13" t="s">
        <v>257</v>
      </c>
    </row>
    <row r="95" spans="1:17" ht="31" x14ac:dyDescent="0.35">
      <c r="A95" s="16" t="s">
        <v>217</v>
      </c>
      <c r="B95" s="14" t="s">
        <v>258</v>
      </c>
      <c r="C95" s="27" t="s">
        <v>96</v>
      </c>
      <c r="D95" s="25" t="s">
        <v>97</v>
      </c>
      <c r="E95" s="27" t="s">
        <v>98</v>
      </c>
      <c r="F95" s="27" t="s">
        <v>99</v>
      </c>
      <c r="G95" s="22">
        <v>1569.8</v>
      </c>
      <c r="H95" s="34">
        <v>46032</v>
      </c>
      <c r="I95" s="15">
        <v>46073</v>
      </c>
      <c r="J95" s="27" t="s">
        <v>125</v>
      </c>
      <c r="K95" s="27" t="s">
        <v>101</v>
      </c>
      <c r="L95" s="27" t="s">
        <v>102</v>
      </c>
      <c r="M95" s="15">
        <f>Таблица1[[#This Row],[Дата окончания ]]-7</f>
        <v>46066</v>
      </c>
      <c r="N95" s="18">
        <f>Таблица1[[#This Row],[Дата окончания ]]-5</f>
        <v>46068</v>
      </c>
      <c r="O95" s="15">
        <f>Таблица1[[#This Row],[Дата окончания ]]-1</f>
        <v>46072</v>
      </c>
      <c r="P95" s="6"/>
      <c r="Q95" s="13" t="s">
        <v>254</v>
      </c>
    </row>
    <row r="96" spans="1:17" ht="31" x14ac:dyDescent="0.35">
      <c r="A96" s="16" t="s">
        <v>167</v>
      </c>
      <c r="B96" s="23" t="s">
        <v>259</v>
      </c>
      <c r="C96" s="16" t="s">
        <v>96</v>
      </c>
      <c r="D96" s="25" t="s">
        <v>97</v>
      </c>
      <c r="E96" s="16" t="s">
        <v>168</v>
      </c>
      <c r="F96" s="16" t="s">
        <v>169</v>
      </c>
      <c r="G96" s="22">
        <v>15380.9</v>
      </c>
      <c r="H96" s="18">
        <v>46028</v>
      </c>
      <c r="I96" s="15">
        <v>46073</v>
      </c>
      <c r="J96" s="16" t="s">
        <v>172</v>
      </c>
      <c r="K96" s="16" t="s">
        <v>170</v>
      </c>
      <c r="L96" s="16" t="s">
        <v>102</v>
      </c>
      <c r="M96" s="15">
        <f>Таблица1[[#This Row],[Дата окончания ]]-7</f>
        <v>46066</v>
      </c>
      <c r="N96" s="18">
        <f>Таблица1[[#This Row],[Дата окончания ]]-5</f>
        <v>46068</v>
      </c>
      <c r="O96" s="15">
        <f>Таблица1[[#This Row],[Дата окончания ]]-1</f>
        <v>46072</v>
      </c>
      <c r="P96" s="6"/>
      <c r="Q96" s="13" t="s">
        <v>254</v>
      </c>
    </row>
    <row r="97" spans="1:17" ht="62" x14ac:dyDescent="0.35">
      <c r="A97" s="29" t="s">
        <v>158</v>
      </c>
      <c r="B97" s="23" t="s">
        <v>141</v>
      </c>
      <c r="C97" s="25" t="s">
        <v>116</v>
      </c>
      <c r="D97" s="25" t="s">
        <v>115</v>
      </c>
      <c r="E97" s="25" t="s">
        <v>139</v>
      </c>
      <c r="F97" s="25" t="s">
        <v>118</v>
      </c>
      <c r="G97" s="22">
        <v>16073.9</v>
      </c>
      <c r="H97" s="28">
        <v>45994</v>
      </c>
      <c r="I97" s="18">
        <v>46073</v>
      </c>
      <c r="J97" s="25" t="s">
        <v>117</v>
      </c>
      <c r="K97" s="25" t="s">
        <v>110</v>
      </c>
      <c r="L97" s="25" t="s">
        <v>153</v>
      </c>
      <c r="M97" s="15">
        <f>Таблица1[[#This Row],[Дата окончания ]]-7</f>
        <v>46066</v>
      </c>
      <c r="N97" s="18">
        <f>Таблица1[[#This Row],[Дата окончания ]]-5</f>
        <v>46068</v>
      </c>
      <c r="O97" s="15">
        <f>Таблица1[[#This Row],[Дата окончания ]]-1</f>
        <v>46072</v>
      </c>
      <c r="P97" s="6"/>
      <c r="Q97" s="13" t="s">
        <v>257</v>
      </c>
    </row>
    <row r="98" spans="1:17" ht="31" x14ac:dyDescent="0.35">
      <c r="A98" s="6" t="s">
        <v>217</v>
      </c>
      <c r="B98" s="14" t="s">
        <v>260</v>
      </c>
      <c r="C98" s="27" t="s">
        <v>96</v>
      </c>
      <c r="D98" s="25" t="s">
        <v>97</v>
      </c>
      <c r="E98" s="27" t="s">
        <v>98</v>
      </c>
      <c r="F98" s="27" t="s">
        <v>99</v>
      </c>
      <c r="G98" s="22">
        <v>1280.5999999999999</v>
      </c>
      <c r="H98" s="34">
        <v>46032</v>
      </c>
      <c r="I98" s="15">
        <v>46074</v>
      </c>
      <c r="J98" s="27" t="s">
        <v>125</v>
      </c>
      <c r="K98" s="27" t="s">
        <v>101</v>
      </c>
      <c r="L98" s="27" t="s">
        <v>102</v>
      </c>
      <c r="M98" s="15">
        <f>Таблица1[[#This Row],[Дата окончания ]]-7</f>
        <v>46067</v>
      </c>
      <c r="N98" s="18">
        <f>Таблица1[[#This Row],[Дата окончания ]]-5</f>
        <v>46069</v>
      </c>
      <c r="O98" s="15">
        <f>Таблица1[[#This Row],[Дата окончания ]]-1</f>
        <v>46073</v>
      </c>
      <c r="P98" s="6"/>
      <c r="Q98" s="13" t="s">
        <v>254</v>
      </c>
    </row>
    <row r="99" spans="1:17" ht="31" x14ac:dyDescent="0.35">
      <c r="A99" s="6" t="s">
        <v>167</v>
      </c>
      <c r="B99" s="23" t="s">
        <v>261</v>
      </c>
      <c r="C99" s="16" t="s">
        <v>96</v>
      </c>
      <c r="D99" s="25" t="s">
        <v>97</v>
      </c>
      <c r="E99" s="16" t="s">
        <v>168</v>
      </c>
      <c r="F99" s="16" t="s">
        <v>169</v>
      </c>
      <c r="G99" s="22">
        <v>16577.7</v>
      </c>
      <c r="H99" s="18">
        <v>46028</v>
      </c>
      <c r="I99" s="15">
        <v>46074</v>
      </c>
      <c r="J99" s="16" t="s">
        <v>172</v>
      </c>
      <c r="K99" s="16" t="s">
        <v>170</v>
      </c>
      <c r="L99" s="16" t="s">
        <v>102</v>
      </c>
      <c r="M99" s="15">
        <f>Таблица1[[#This Row],[Дата окончания ]]-7</f>
        <v>46067</v>
      </c>
      <c r="N99" s="18">
        <f>Таблица1[[#This Row],[Дата окончания ]]-5</f>
        <v>46069</v>
      </c>
      <c r="O99" s="15">
        <f>Таблица1[[#This Row],[Дата окончания ]]-1</f>
        <v>46073</v>
      </c>
      <c r="P99" s="6"/>
      <c r="Q99" s="13" t="s">
        <v>254</v>
      </c>
    </row>
    <row r="100" spans="1:17" ht="31" x14ac:dyDescent="0.35">
      <c r="A100" s="6" t="s">
        <v>167</v>
      </c>
      <c r="B100" s="23" t="s">
        <v>262</v>
      </c>
      <c r="C100" s="16" t="s">
        <v>96</v>
      </c>
      <c r="D100" s="25" t="s">
        <v>97</v>
      </c>
      <c r="E100" s="16" t="s">
        <v>168</v>
      </c>
      <c r="F100" s="16" t="s">
        <v>169</v>
      </c>
      <c r="G100" s="22">
        <v>18259.099999999999</v>
      </c>
      <c r="H100" s="18">
        <v>46028</v>
      </c>
      <c r="I100" s="15">
        <v>46076</v>
      </c>
      <c r="J100" s="16" t="s">
        <v>172</v>
      </c>
      <c r="K100" s="16" t="s">
        <v>170</v>
      </c>
      <c r="L100" s="16" t="s">
        <v>102</v>
      </c>
      <c r="M100" s="15">
        <f>Таблица1[[#This Row],[Дата окончания ]]-7</f>
        <v>46069</v>
      </c>
      <c r="N100" s="18">
        <f>Таблица1[[#This Row],[Дата окончания ]]-5</f>
        <v>46071</v>
      </c>
      <c r="O100" s="15">
        <f>Таблица1[[#This Row],[Дата окончания ]]-1</f>
        <v>46075</v>
      </c>
      <c r="P100" s="6"/>
    </row>
    <row r="101" spans="1:17" ht="62" x14ac:dyDescent="0.35">
      <c r="A101" s="29" t="s">
        <v>158</v>
      </c>
      <c r="B101" s="23" t="s">
        <v>143</v>
      </c>
      <c r="C101" s="25" t="s">
        <v>116</v>
      </c>
      <c r="D101" s="25" t="s">
        <v>115</v>
      </c>
      <c r="E101" s="25" t="s">
        <v>139</v>
      </c>
      <c r="F101" s="25" t="s">
        <v>118</v>
      </c>
      <c r="G101" s="22">
        <v>1450</v>
      </c>
      <c r="H101" s="28">
        <v>45994</v>
      </c>
      <c r="I101" s="18">
        <v>46077</v>
      </c>
      <c r="J101" s="25" t="s">
        <v>117</v>
      </c>
      <c r="K101" s="25" t="s">
        <v>110</v>
      </c>
      <c r="L101" s="25" t="s">
        <v>153</v>
      </c>
      <c r="M101" s="15">
        <f>Таблица1[[#This Row],[Дата окончания ]]-7</f>
        <v>46070</v>
      </c>
      <c r="N101" s="18">
        <f>Таблица1[[#This Row],[Дата окончания ]]-5</f>
        <v>46072</v>
      </c>
      <c r="O101" s="15">
        <f>Таблица1[[#This Row],[Дата окончания ]]-1</f>
        <v>46076</v>
      </c>
      <c r="P101" s="6"/>
      <c r="Q101" s="13" t="s">
        <v>257</v>
      </c>
    </row>
    <row r="102" spans="1:17" ht="31" x14ac:dyDescent="0.35">
      <c r="A102" s="6" t="s">
        <v>217</v>
      </c>
      <c r="B102" s="14" t="s">
        <v>263</v>
      </c>
      <c r="C102" s="27" t="s">
        <v>96</v>
      </c>
      <c r="D102" s="25" t="s">
        <v>97</v>
      </c>
      <c r="E102" s="27" t="s">
        <v>98</v>
      </c>
      <c r="F102" s="27" t="s">
        <v>99</v>
      </c>
      <c r="G102" s="22">
        <v>868.5</v>
      </c>
      <c r="H102" s="34">
        <v>46032</v>
      </c>
      <c r="I102" s="15">
        <v>46077</v>
      </c>
      <c r="J102" s="27" t="s">
        <v>125</v>
      </c>
      <c r="K102" s="27" t="s">
        <v>101</v>
      </c>
      <c r="L102" s="27" t="s">
        <v>102</v>
      </c>
      <c r="M102" s="15">
        <f>Таблица1[[#This Row],[Дата окончания ]]-7</f>
        <v>46070</v>
      </c>
      <c r="N102" s="18">
        <f>Таблица1[[#This Row],[Дата окончания ]]-5</f>
        <v>46072</v>
      </c>
      <c r="O102" s="15">
        <f>Таблица1[[#This Row],[Дата окончания ]]-1</f>
        <v>46076</v>
      </c>
      <c r="P102" s="6"/>
    </row>
    <row r="103" spans="1:17" ht="31" x14ac:dyDescent="0.35">
      <c r="A103" s="6" t="s">
        <v>167</v>
      </c>
      <c r="B103" s="23" t="s">
        <v>264</v>
      </c>
      <c r="C103" s="16" t="s">
        <v>96</v>
      </c>
      <c r="D103" s="25" t="s">
        <v>97</v>
      </c>
      <c r="E103" s="16" t="s">
        <v>168</v>
      </c>
      <c r="F103" s="16" t="s">
        <v>169</v>
      </c>
      <c r="G103" s="22">
        <v>16447.599999999999</v>
      </c>
      <c r="H103" s="18">
        <v>46028</v>
      </c>
      <c r="I103" s="15">
        <v>46077</v>
      </c>
      <c r="J103" s="16" t="s">
        <v>172</v>
      </c>
      <c r="K103" s="16" t="s">
        <v>170</v>
      </c>
      <c r="L103" s="16" t="s">
        <v>102</v>
      </c>
      <c r="M103" s="15">
        <f>Таблица1[[#This Row],[Дата окончания ]]-7</f>
        <v>46070</v>
      </c>
      <c r="N103" s="18">
        <f>Таблица1[[#This Row],[Дата окончания ]]-5</f>
        <v>46072</v>
      </c>
      <c r="O103" s="15">
        <f>Таблица1[[#This Row],[Дата окончания ]]-1</f>
        <v>46076</v>
      </c>
      <c r="P103" s="6"/>
    </row>
    <row r="104" spans="1:17" ht="15.5" x14ac:dyDescent="0.35">
      <c r="A104" s="6" t="s">
        <v>265</v>
      </c>
      <c r="B104" s="14" t="s">
        <v>157</v>
      </c>
      <c r="C104" s="6" t="s">
        <v>266</v>
      </c>
      <c r="D104" s="6" t="s">
        <v>267</v>
      </c>
      <c r="E104" s="6" t="s">
        <v>268</v>
      </c>
      <c r="F104" s="6" t="s">
        <v>269</v>
      </c>
      <c r="G104" s="22">
        <v>25648.2</v>
      </c>
      <c r="H104" s="15">
        <v>46057</v>
      </c>
      <c r="I104" s="15">
        <v>46079</v>
      </c>
      <c r="J104" s="6" t="s">
        <v>236</v>
      </c>
      <c r="K104" s="6" t="s">
        <v>270</v>
      </c>
      <c r="L104" s="6" t="s">
        <v>238</v>
      </c>
      <c r="M104" s="15">
        <f>Таблица1[[#This Row],[Дата окончания ]]-7</f>
        <v>46072</v>
      </c>
      <c r="N104" s="18">
        <f>Таблица1[[#This Row],[Дата окончания ]]-5</f>
        <v>46074</v>
      </c>
      <c r="O104" s="15">
        <f>Таблица1[[#This Row],[Дата окончания ]]-1</f>
        <v>46078</v>
      </c>
      <c r="P104" s="6"/>
    </row>
    <row r="105" spans="1:17" ht="31" x14ac:dyDescent="0.35">
      <c r="A105" s="6" t="s">
        <v>167</v>
      </c>
      <c r="B105" s="23" t="s">
        <v>271</v>
      </c>
      <c r="C105" s="16" t="s">
        <v>96</v>
      </c>
      <c r="D105" s="25" t="s">
        <v>97</v>
      </c>
      <c r="E105" s="16" t="s">
        <v>168</v>
      </c>
      <c r="F105" s="16" t="s">
        <v>169</v>
      </c>
      <c r="G105" s="22">
        <v>17373.5</v>
      </c>
      <c r="H105" s="18">
        <v>46028</v>
      </c>
      <c r="I105" s="15">
        <v>46078</v>
      </c>
      <c r="J105" s="16" t="s">
        <v>172</v>
      </c>
      <c r="K105" s="16" t="s">
        <v>170</v>
      </c>
      <c r="L105" s="16" t="s">
        <v>102</v>
      </c>
      <c r="M105" s="15">
        <f>Таблица1[[#This Row],[Дата окончания ]]-7</f>
        <v>46071</v>
      </c>
      <c r="N105" s="18">
        <f>Таблица1[[#This Row],[Дата окончания ]]-5</f>
        <v>46073</v>
      </c>
      <c r="O105" s="15">
        <f>Таблица1[[#This Row],[Дата окончания ]]-1</f>
        <v>46077</v>
      </c>
      <c r="P105" s="6"/>
    </row>
    <row r="106" spans="1:17" ht="77.5" x14ac:dyDescent="0.35">
      <c r="A106" s="6" t="s">
        <v>272</v>
      </c>
      <c r="B106" s="14" t="s">
        <v>157</v>
      </c>
      <c r="C106" s="6" t="s">
        <v>273</v>
      </c>
      <c r="D106" s="6" t="s">
        <v>277</v>
      </c>
      <c r="E106" s="6" t="s">
        <v>276</v>
      </c>
      <c r="F106" s="6" t="s">
        <v>275</v>
      </c>
      <c r="G106" s="22">
        <v>152706.21999999997</v>
      </c>
      <c r="H106" s="15">
        <v>46035</v>
      </c>
      <c r="I106" s="15">
        <v>46079</v>
      </c>
      <c r="J106" s="6" t="s">
        <v>236</v>
      </c>
      <c r="K106" s="6" t="s">
        <v>274</v>
      </c>
      <c r="L106" s="6" t="s">
        <v>278</v>
      </c>
      <c r="M106" s="15">
        <f>Таблица1[[#This Row],[Дата окончания ]]-7</f>
        <v>46072</v>
      </c>
      <c r="N106" s="18">
        <f>Таблица1[[#This Row],[Дата окончания ]]-5</f>
        <v>46074</v>
      </c>
      <c r="O106" s="15">
        <f>Таблица1[[#This Row],[Дата окончания ]]-1</f>
        <v>46078</v>
      </c>
      <c r="P106" s="6"/>
    </row>
    <row r="107" spans="1:17" ht="31" x14ac:dyDescent="0.35">
      <c r="A107" s="6" t="s">
        <v>217</v>
      </c>
      <c r="B107" s="14" t="s">
        <v>280</v>
      </c>
      <c r="C107" s="27" t="s">
        <v>96</v>
      </c>
      <c r="D107" s="25" t="s">
        <v>97</v>
      </c>
      <c r="E107" s="27" t="s">
        <v>98</v>
      </c>
      <c r="F107" s="27" t="s">
        <v>99</v>
      </c>
      <c r="G107" s="22">
        <v>177.1</v>
      </c>
      <c r="H107" s="34">
        <v>46032</v>
      </c>
      <c r="I107" s="15">
        <v>46079</v>
      </c>
      <c r="J107" s="27" t="s">
        <v>125</v>
      </c>
      <c r="K107" s="27" t="s">
        <v>101</v>
      </c>
      <c r="L107" s="27" t="s">
        <v>102</v>
      </c>
      <c r="M107" s="15">
        <f>Таблица1[[#This Row],[Дата окончания ]]-7</f>
        <v>46072</v>
      </c>
      <c r="N107" s="18">
        <f>Таблица1[[#This Row],[Дата окончания ]]-5</f>
        <v>46074</v>
      </c>
      <c r="O107" s="15">
        <f>Таблица1[[#This Row],[Дата окончания ]]-1</f>
        <v>46078</v>
      </c>
      <c r="P107" s="6"/>
    </row>
    <row r="108" spans="1:17" ht="31" x14ac:dyDescent="0.35">
      <c r="A108" s="6" t="s">
        <v>167</v>
      </c>
      <c r="B108" s="14" t="s">
        <v>279</v>
      </c>
      <c r="C108" s="6" t="s">
        <v>96</v>
      </c>
      <c r="D108" s="6" t="s">
        <v>97</v>
      </c>
      <c r="E108" s="6" t="s">
        <v>168</v>
      </c>
      <c r="F108" s="6" t="s">
        <v>169</v>
      </c>
      <c r="G108" s="22">
        <v>14485</v>
      </c>
      <c r="H108" s="18">
        <v>46028</v>
      </c>
      <c r="I108" s="15">
        <v>46079</v>
      </c>
      <c r="J108" s="16" t="s">
        <v>172</v>
      </c>
      <c r="K108" s="16" t="s">
        <v>170</v>
      </c>
      <c r="L108" s="16" t="s">
        <v>102</v>
      </c>
      <c r="M108" s="15">
        <f>Таблица1[[#This Row],[Дата окончания ]]-7</f>
        <v>46072</v>
      </c>
      <c r="N108" s="18">
        <f>Таблица1[[#This Row],[Дата окончания ]]-5</f>
        <v>46074</v>
      </c>
      <c r="O108" s="15">
        <f>Таблица1[[#This Row],[Дата окончания ]]-1</f>
        <v>46078</v>
      </c>
      <c r="P108" s="6"/>
    </row>
    <row r="109" spans="1:17" ht="31" x14ac:dyDescent="0.35">
      <c r="A109" s="6" t="s">
        <v>167</v>
      </c>
      <c r="B109" s="14" t="s">
        <v>281</v>
      </c>
      <c r="C109" s="6" t="s">
        <v>96</v>
      </c>
      <c r="D109" s="6" t="s">
        <v>97</v>
      </c>
      <c r="E109" s="6" t="s">
        <v>168</v>
      </c>
      <c r="F109" s="6" t="s">
        <v>169</v>
      </c>
      <c r="G109" s="22">
        <v>20304</v>
      </c>
      <c r="H109" s="18">
        <v>46028</v>
      </c>
      <c r="I109" s="15">
        <v>46080</v>
      </c>
      <c r="J109" s="16" t="s">
        <v>172</v>
      </c>
      <c r="K109" s="16" t="s">
        <v>170</v>
      </c>
      <c r="L109" s="16" t="s">
        <v>102</v>
      </c>
      <c r="M109" s="15">
        <f>Таблица1[[#This Row],[Дата окончания ]]-7</f>
        <v>46073</v>
      </c>
      <c r="N109" s="18">
        <f>Таблица1[[#This Row],[Дата окончания ]]-5</f>
        <v>46075</v>
      </c>
      <c r="O109" s="15">
        <f>Таблица1[[#This Row],[Дата окончания ]]-1</f>
        <v>46079</v>
      </c>
      <c r="P109" s="6"/>
    </row>
    <row r="110" spans="1:17" ht="31" x14ac:dyDescent="0.35">
      <c r="A110" s="6" t="s">
        <v>217</v>
      </c>
      <c r="B110" s="14" t="s">
        <v>282</v>
      </c>
      <c r="C110" s="27" t="s">
        <v>96</v>
      </c>
      <c r="D110" s="25" t="s">
        <v>97</v>
      </c>
      <c r="E110" s="27" t="s">
        <v>98</v>
      </c>
      <c r="F110" s="27" t="s">
        <v>99</v>
      </c>
      <c r="G110" s="22">
        <v>646.5</v>
      </c>
      <c r="H110" s="34">
        <v>46032</v>
      </c>
      <c r="I110" s="15">
        <v>46080</v>
      </c>
      <c r="J110" s="27" t="s">
        <v>125</v>
      </c>
      <c r="K110" s="27" t="s">
        <v>101</v>
      </c>
      <c r="L110" s="27" t="s">
        <v>102</v>
      </c>
      <c r="M110" s="15">
        <f>Таблица1[[#This Row],[Дата окончания ]]-7</f>
        <v>46073</v>
      </c>
      <c r="N110" s="18">
        <f>Таблица1[[#This Row],[Дата окончания ]]-5</f>
        <v>46075</v>
      </c>
      <c r="O110" s="15">
        <f>Таблица1[[#This Row],[Дата окончания ]]-1</f>
        <v>46079</v>
      </c>
      <c r="P110" s="6"/>
    </row>
    <row r="111" spans="1:17" ht="31" x14ac:dyDescent="0.35">
      <c r="A111" s="6" t="s">
        <v>167</v>
      </c>
      <c r="B111" s="14" t="s">
        <v>283</v>
      </c>
      <c r="C111" s="6" t="s">
        <v>96</v>
      </c>
      <c r="D111" s="6" t="s">
        <v>97</v>
      </c>
      <c r="E111" s="6" t="s">
        <v>168</v>
      </c>
      <c r="F111" s="6" t="s">
        <v>169</v>
      </c>
      <c r="G111" s="22">
        <v>17191.3</v>
      </c>
      <c r="H111" s="18">
        <v>46028</v>
      </c>
      <c r="I111" s="15">
        <v>46080</v>
      </c>
      <c r="J111" s="16" t="s">
        <v>172</v>
      </c>
      <c r="K111" s="16" t="s">
        <v>170</v>
      </c>
      <c r="L111" s="16" t="s">
        <v>102</v>
      </c>
      <c r="M111" s="15">
        <f>Таблица1[[#This Row],[Дата окончания ]]-7</f>
        <v>46073</v>
      </c>
      <c r="N111" s="18">
        <f>Таблица1[[#This Row],[Дата окончания ]]-5</f>
        <v>46075</v>
      </c>
      <c r="O111" s="15">
        <f>Таблица1[[#This Row],[Дата окончания ]]-1</f>
        <v>46079</v>
      </c>
      <c r="P111" s="6"/>
    </row>
    <row r="112" spans="1:17" ht="62" x14ac:dyDescent="0.35">
      <c r="A112" s="29" t="s">
        <v>158</v>
      </c>
      <c r="B112" s="23" t="s">
        <v>144</v>
      </c>
      <c r="C112" s="25" t="s">
        <v>116</v>
      </c>
      <c r="D112" s="25" t="s">
        <v>115</v>
      </c>
      <c r="E112" s="25" t="s">
        <v>139</v>
      </c>
      <c r="F112" s="25" t="s">
        <v>118</v>
      </c>
      <c r="G112" s="22">
        <v>16369.9</v>
      </c>
      <c r="H112" s="28">
        <v>45994</v>
      </c>
      <c r="I112" s="18">
        <v>46081</v>
      </c>
      <c r="J112" s="25" t="s">
        <v>117</v>
      </c>
      <c r="K112" s="25" t="s">
        <v>110</v>
      </c>
      <c r="L112" s="25" t="s">
        <v>153</v>
      </c>
      <c r="M112" s="15">
        <f>Таблица1[[#This Row],[Дата окончания ]]-7</f>
        <v>46074</v>
      </c>
      <c r="N112" s="18">
        <f>Таблица1[[#This Row],[Дата окончания ]]-5</f>
        <v>46076</v>
      </c>
      <c r="O112" s="15">
        <f>Таблица1[[#This Row],[Дата окончания ]]-1</f>
        <v>46080</v>
      </c>
      <c r="P112" s="6"/>
    </row>
    <row r="113" spans="1:16" ht="31" x14ac:dyDescent="0.35">
      <c r="A113" s="6" t="s">
        <v>167</v>
      </c>
      <c r="B113" s="14" t="s">
        <v>284</v>
      </c>
      <c r="C113" s="6" t="s">
        <v>96</v>
      </c>
      <c r="D113" s="6" t="s">
        <v>97</v>
      </c>
      <c r="E113" s="6" t="s">
        <v>168</v>
      </c>
      <c r="F113" s="6" t="s">
        <v>169</v>
      </c>
      <c r="G113" s="22">
        <v>11178.2</v>
      </c>
      <c r="H113" s="18">
        <v>46028</v>
      </c>
      <c r="I113" s="15">
        <v>46081</v>
      </c>
      <c r="J113" s="16" t="s">
        <v>172</v>
      </c>
      <c r="K113" s="16" t="s">
        <v>170</v>
      </c>
      <c r="L113" s="16" t="s">
        <v>102</v>
      </c>
      <c r="M113" s="15">
        <f>Таблица1[[#This Row],[Дата окончания ]]-7</f>
        <v>46074</v>
      </c>
      <c r="N113" s="18">
        <f>Таблица1[[#This Row],[Дата окончания ]]-5</f>
        <v>46076</v>
      </c>
      <c r="O113" s="15">
        <f>Таблица1[[#This Row],[Дата окончания ]]-1</f>
        <v>46080</v>
      </c>
      <c r="P113" s="6"/>
    </row>
    <row r="114" spans="1:16" ht="31" x14ac:dyDescent="0.35">
      <c r="A114" s="6" t="s">
        <v>217</v>
      </c>
      <c r="B114" s="14" t="s">
        <v>285</v>
      </c>
      <c r="C114" s="27" t="s">
        <v>96</v>
      </c>
      <c r="D114" s="25" t="s">
        <v>97</v>
      </c>
      <c r="E114" s="27" t="s">
        <v>98</v>
      </c>
      <c r="F114" s="27" t="s">
        <v>99</v>
      </c>
      <c r="G114" s="22">
        <v>574.20000000000005</v>
      </c>
      <c r="H114" s="34">
        <v>46032</v>
      </c>
      <c r="I114" s="15">
        <v>46081</v>
      </c>
      <c r="J114" s="27" t="s">
        <v>125</v>
      </c>
      <c r="K114" s="27" t="s">
        <v>101</v>
      </c>
      <c r="L114" s="27" t="s">
        <v>102</v>
      </c>
      <c r="M114" s="15">
        <f>Таблица1[[#This Row],[Дата окончания ]]-7</f>
        <v>46074</v>
      </c>
      <c r="N114" s="18">
        <f>Таблица1[[#This Row],[Дата окончания ]]-5</f>
        <v>46076</v>
      </c>
      <c r="O114" s="15">
        <f>Таблица1[[#This Row],[Дата окончания ]]-1</f>
        <v>46080</v>
      </c>
      <c r="P114" s="6"/>
    </row>
    <row r="115" spans="1:16" ht="31" x14ac:dyDescent="0.35">
      <c r="A115" s="6" t="s">
        <v>167</v>
      </c>
      <c r="B115" s="14" t="s">
        <v>286</v>
      </c>
      <c r="C115" s="6" t="s">
        <v>96</v>
      </c>
      <c r="D115" s="6" t="s">
        <v>97</v>
      </c>
      <c r="E115" s="6" t="s">
        <v>168</v>
      </c>
      <c r="F115" s="6" t="s">
        <v>169</v>
      </c>
      <c r="G115" s="22">
        <v>17561.400000000001</v>
      </c>
      <c r="H115" s="18">
        <v>46028</v>
      </c>
      <c r="I115" s="15">
        <v>46083</v>
      </c>
      <c r="J115" s="16" t="s">
        <v>172</v>
      </c>
      <c r="K115" s="16" t="s">
        <v>170</v>
      </c>
      <c r="L115" s="16" t="s">
        <v>102</v>
      </c>
      <c r="M115" s="15">
        <f>Таблица1[[#This Row],[Дата окончания ]]-7</f>
        <v>46076</v>
      </c>
      <c r="N115" s="18">
        <f>Таблица1[[#This Row],[Дата окончания ]]-5</f>
        <v>46078</v>
      </c>
      <c r="O115" s="15">
        <f>Таблица1[[#This Row],[Дата окончания ]]-1</f>
        <v>46082</v>
      </c>
      <c r="P115" s="6"/>
    </row>
    <row r="116" spans="1:16" ht="31" x14ac:dyDescent="0.35">
      <c r="A116" s="6" t="s">
        <v>167</v>
      </c>
      <c r="B116" s="14" t="s">
        <v>287</v>
      </c>
      <c r="C116" s="6" t="s">
        <v>96</v>
      </c>
      <c r="D116" s="6" t="s">
        <v>97</v>
      </c>
      <c r="E116" s="6" t="s">
        <v>168</v>
      </c>
      <c r="F116" s="6" t="s">
        <v>169</v>
      </c>
      <c r="G116" s="22">
        <v>15791.6</v>
      </c>
      <c r="H116" s="18">
        <v>46028</v>
      </c>
      <c r="I116" s="15">
        <v>46084</v>
      </c>
      <c r="J116" s="16" t="s">
        <v>172</v>
      </c>
      <c r="K116" s="16" t="s">
        <v>170</v>
      </c>
      <c r="L116" s="16" t="s">
        <v>102</v>
      </c>
      <c r="M116" s="15">
        <f>Таблица1[[#This Row],[Дата окончания ]]-7</f>
        <v>46077</v>
      </c>
      <c r="N116" s="18">
        <f>Таблица1[[#This Row],[Дата окончания ]]-5</f>
        <v>46079</v>
      </c>
      <c r="O116" s="15">
        <f>Таблица1[[#This Row],[Дата окончания ]]-1</f>
        <v>46083</v>
      </c>
      <c r="P116" s="6"/>
    </row>
    <row r="117" spans="1:16" ht="31" x14ac:dyDescent="0.35">
      <c r="A117" s="6" t="s">
        <v>217</v>
      </c>
      <c r="B117" s="14" t="s">
        <v>288</v>
      </c>
      <c r="C117" s="27" t="s">
        <v>96</v>
      </c>
      <c r="D117" s="25" t="s">
        <v>97</v>
      </c>
      <c r="E117" s="27" t="s">
        <v>98</v>
      </c>
      <c r="F117" s="27" t="s">
        <v>99</v>
      </c>
      <c r="G117" s="22">
        <v>222</v>
      </c>
      <c r="H117" s="34">
        <v>46032</v>
      </c>
      <c r="I117" s="15">
        <v>46084</v>
      </c>
      <c r="J117" s="27" t="s">
        <v>125</v>
      </c>
      <c r="K117" s="27" t="s">
        <v>101</v>
      </c>
      <c r="L117" s="27" t="s">
        <v>102</v>
      </c>
      <c r="M117" s="15">
        <f>Таблица1[[#This Row],[Дата окончания ]]-7</f>
        <v>46077</v>
      </c>
      <c r="N117" s="18">
        <f>Таблица1[[#This Row],[Дата окончания ]]-5</f>
        <v>46079</v>
      </c>
      <c r="O117" s="15">
        <f>Таблица1[[#This Row],[Дата окончания ]]-1</f>
        <v>46083</v>
      </c>
      <c r="P117" s="6"/>
    </row>
    <row r="118" spans="1:16" ht="31" x14ac:dyDescent="0.35">
      <c r="A118" s="6" t="s">
        <v>167</v>
      </c>
      <c r="B118" s="14" t="s">
        <v>289</v>
      </c>
      <c r="C118" s="6" t="s">
        <v>96</v>
      </c>
      <c r="D118" s="6" t="s">
        <v>97</v>
      </c>
      <c r="E118" s="6" t="s">
        <v>168</v>
      </c>
      <c r="F118" s="6" t="s">
        <v>169</v>
      </c>
      <c r="G118" s="22">
        <v>16993.7</v>
      </c>
      <c r="H118" s="18">
        <v>46028</v>
      </c>
      <c r="I118" s="15">
        <v>46084</v>
      </c>
      <c r="J118" s="16" t="s">
        <v>172</v>
      </c>
      <c r="K118" s="16" t="s">
        <v>170</v>
      </c>
      <c r="L118" s="16" t="s">
        <v>102</v>
      </c>
      <c r="M118" s="15">
        <f>Таблица1[[#This Row],[Дата окончания ]]-7</f>
        <v>46077</v>
      </c>
      <c r="N118" s="18">
        <f>Таблица1[[#This Row],[Дата окончания ]]-5</f>
        <v>46079</v>
      </c>
      <c r="O118" s="15">
        <f>Таблица1[[#This Row],[Дата окончания ]]-1</f>
        <v>46083</v>
      </c>
      <c r="P118" s="6"/>
    </row>
    <row r="119" spans="1:16" ht="62" x14ac:dyDescent="0.35">
      <c r="A119" s="6" t="s">
        <v>291</v>
      </c>
      <c r="B119" s="14" t="s">
        <v>292</v>
      </c>
      <c r="C119" s="6" t="s">
        <v>293</v>
      </c>
      <c r="D119" s="6" t="s">
        <v>294</v>
      </c>
      <c r="E119" s="6" t="s">
        <v>146</v>
      </c>
      <c r="F119" s="6" t="s">
        <v>149</v>
      </c>
      <c r="G119" s="22">
        <v>18102.72</v>
      </c>
      <c r="H119" s="15">
        <v>45932</v>
      </c>
      <c r="I119" s="15">
        <v>46085</v>
      </c>
      <c r="J119" s="6" t="s">
        <v>150</v>
      </c>
      <c r="K119" s="6" t="s">
        <v>110</v>
      </c>
      <c r="L119" s="6" t="s">
        <v>151</v>
      </c>
      <c r="M119" s="15">
        <f>Таблица1[[#This Row],[Дата окончания ]]-7</f>
        <v>46078</v>
      </c>
      <c r="N119" s="18">
        <f>Таблица1[[#This Row],[Дата окончания ]]-5</f>
        <v>46080</v>
      </c>
      <c r="O119" s="15">
        <f>Таблица1[[#This Row],[Дата окончания ]]-1</f>
        <v>46084</v>
      </c>
      <c r="P119" s="6"/>
    </row>
    <row r="120" spans="1:16" ht="62" x14ac:dyDescent="0.35">
      <c r="A120" s="29" t="s">
        <v>158</v>
      </c>
      <c r="B120" s="23" t="s">
        <v>165</v>
      </c>
      <c r="C120" s="25" t="s">
        <v>116</v>
      </c>
      <c r="D120" s="25" t="s">
        <v>115</v>
      </c>
      <c r="E120" s="25" t="s">
        <v>139</v>
      </c>
      <c r="F120" s="25" t="s">
        <v>118</v>
      </c>
      <c r="G120" s="22">
        <v>11273.500000000002</v>
      </c>
      <c r="H120" s="28">
        <v>45994</v>
      </c>
      <c r="I120" s="18">
        <v>46085</v>
      </c>
      <c r="J120" s="25" t="s">
        <v>117</v>
      </c>
      <c r="K120" s="25" t="s">
        <v>110</v>
      </c>
      <c r="L120" s="25" t="s">
        <v>153</v>
      </c>
      <c r="M120" s="15">
        <f>Таблица1[[#This Row],[Дата окончания ]]-7</f>
        <v>46078</v>
      </c>
      <c r="N120" s="18">
        <f>Таблица1[[#This Row],[Дата окончания ]]-5</f>
        <v>46080</v>
      </c>
      <c r="O120" s="15">
        <f>Таблица1[[#This Row],[Дата окончания ]]-1</f>
        <v>46084</v>
      </c>
      <c r="P120" s="6"/>
    </row>
    <row r="121" spans="1:16" ht="31" x14ac:dyDescent="0.35">
      <c r="A121" s="6" t="s">
        <v>167</v>
      </c>
      <c r="B121" s="14" t="s">
        <v>295</v>
      </c>
      <c r="C121" s="6" t="s">
        <v>96</v>
      </c>
      <c r="D121" s="6" t="s">
        <v>97</v>
      </c>
      <c r="E121" s="6" t="s">
        <v>168</v>
      </c>
      <c r="F121" s="6" t="s">
        <v>169</v>
      </c>
      <c r="G121" s="22">
        <v>10156.4</v>
      </c>
      <c r="H121" s="18">
        <v>46028</v>
      </c>
      <c r="I121" s="15">
        <v>46087</v>
      </c>
      <c r="J121" s="16" t="s">
        <v>172</v>
      </c>
      <c r="K121" s="16" t="s">
        <v>170</v>
      </c>
      <c r="L121" s="16" t="s">
        <v>102</v>
      </c>
      <c r="M121" s="15">
        <f>Таблица1[[#This Row],[Дата окончания ]]-7</f>
        <v>46080</v>
      </c>
      <c r="N121" s="18">
        <f>Таблица1[[#This Row],[Дата окончания ]]-5</f>
        <v>46082</v>
      </c>
      <c r="O121" s="15">
        <f>Таблица1[[#This Row],[Дата окончания ]]-1</f>
        <v>46086</v>
      </c>
      <c r="P121" s="6"/>
    </row>
    <row r="122" spans="1:16" ht="31" x14ac:dyDescent="0.35">
      <c r="A122" s="6" t="s">
        <v>167</v>
      </c>
      <c r="B122" s="14" t="s">
        <v>296</v>
      </c>
      <c r="C122" s="6" t="s">
        <v>96</v>
      </c>
      <c r="D122" s="6" t="s">
        <v>97</v>
      </c>
      <c r="E122" s="6" t="s">
        <v>168</v>
      </c>
      <c r="F122" s="6" t="s">
        <v>169</v>
      </c>
      <c r="G122" s="22">
        <v>8488.7999999999993</v>
      </c>
      <c r="H122" s="18">
        <v>46028</v>
      </c>
      <c r="I122" s="15">
        <v>46087</v>
      </c>
      <c r="J122" s="16" t="s">
        <v>172</v>
      </c>
      <c r="K122" s="16" t="s">
        <v>170</v>
      </c>
      <c r="L122" s="16" t="s">
        <v>102</v>
      </c>
      <c r="M122" s="15">
        <f>Таблица1[[#This Row],[Дата окончания ]]-7</f>
        <v>46080</v>
      </c>
      <c r="N122" s="18">
        <f>Таблица1[[#This Row],[Дата окончания ]]-5</f>
        <v>46082</v>
      </c>
      <c r="O122" s="15">
        <f>Таблица1[[#This Row],[Дата окончания ]]-1</f>
        <v>46086</v>
      </c>
      <c r="P122" s="6"/>
    </row>
    <row r="123" spans="1:16" ht="31" x14ac:dyDescent="0.35">
      <c r="A123" s="6" t="s">
        <v>167</v>
      </c>
      <c r="B123" s="14" t="s">
        <v>297</v>
      </c>
      <c r="C123" s="6" t="s">
        <v>96</v>
      </c>
      <c r="D123" s="6" t="s">
        <v>97</v>
      </c>
      <c r="E123" s="6" t="s">
        <v>168</v>
      </c>
      <c r="F123" s="6" t="s">
        <v>169</v>
      </c>
      <c r="G123" s="22">
        <v>17125.599999999999</v>
      </c>
      <c r="H123" s="18">
        <v>46028</v>
      </c>
      <c r="I123" s="15">
        <v>46087</v>
      </c>
      <c r="J123" s="16" t="s">
        <v>172</v>
      </c>
      <c r="K123" s="16" t="s">
        <v>170</v>
      </c>
      <c r="L123" s="16" t="s">
        <v>102</v>
      </c>
      <c r="M123" s="15">
        <f>Таблица1[[#This Row],[Дата окончания ]]-7</f>
        <v>46080</v>
      </c>
      <c r="N123" s="18">
        <f>Таблица1[[#This Row],[Дата окончания ]]-5</f>
        <v>46082</v>
      </c>
      <c r="O123" s="15">
        <f>Таблица1[[#This Row],[Дата окончания ]]-1</f>
        <v>46086</v>
      </c>
      <c r="P123" s="6"/>
    </row>
    <row r="124" spans="1:16" ht="62" x14ac:dyDescent="0.35">
      <c r="A124" s="29" t="s">
        <v>158</v>
      </c>
      <c r="B124" s="23" t="s">
        <v>173</v>
      </c>
      <c r="C124" s="25" t="s">
        <v>116</v>
      </c>
      <c r="D124" s="25" t="s">
        <v>115</v>
      </c>
      <c r="E124" s="25" t="s">
        <v>139</v>
      </c>
      <c r="F124" s="25" t="s">
        <v>118</v>
      </c>
      <c r="G124" s="22">
        <v>10110.900000000001</v>
      </c>
      <c r="H124" s="28">
        <v>45994</v>
      </c>
      <c r="I124" s="18">
        <v>46087</v>
      </c>
      <c r="J124" s="25" t="s">
        <v>117</v>
      </c>
      <c r="K124" s="25" t="s">
        <v>110</v>
      </c>
      <c r="L124" s="25" t="s">
        <v>153</v>
      </c>
      <c r="M124" s="15">
        <f>Таблица1[[#This Row],[Дата окончания ]]-7</f>
        <v>46080</v>
      </c>
      <c r="N124" s="18">
        <f>Таблица1[[#This Row],[Дата окончания ]]-5</f>
        <v>46082</v>
      </c>
      <c r="O124" s="15">
        <f>Таблица1[[#This Row],[Дата окончания ]]-1</f>
        <v>46086</v>
      </c>
      <c r="P124" s="6"/>
    </row>
    <row r="125" spans="1:16" ht="31" x14ac:dyDescent="0.35">
      <c r="A125" s="6" t="s">
        <v>217</v>
      </c>
      <c r="B125" s="14" t="s">
        <v>298</v>
      </c>
      <c r="C125" s="27" t="s">
        <v>96</v>
      </c>
      <c r="D125" s="25" t="s">
        <v>97</v>
      </c>
      <c r="E125" s="27" t="s">
        <v>98</v>
      </c>
      <c r="F125" s="27" t="s">
        <v>99</v>
      </c>
      <c r="G125" s="22">
        <v>53</v>
      </c>
      <c r="H125" s="34">
        <v>46032</v>
      </c>
      <c r="I125" s="15">
        <v>46087</v>
      </c>
      <c r="J125" s="27" t="s">
        <v>125</v>
      </c>
      <c r="K125" s="27" t="s">
        <v>101</v>
      </c>
      <c r="L125" s="27" t="s">
        <v>102</v>
      </c>
      <c r="M125" s="15">
        <f>Таблица1[[#This Row],[Дата окончания ]]-7</f>
        <v>46080</v>
      </c>
      <c r="N125" s="18">
        <f>Таблица1[[#This Row],[Дата окончания ]]-5</f>
        <v>46082</v>
      </c>
      <c r="O125" s="15">
        <f>Таблица1[[#This Row],[Дата окончания ]]-1</f>
        <v>46086</v>
      </c>
      <c r="P125" s="6"/>
    </row>
    <row r="126" spans="1:16" ht="31" x14ac:dyDescent="0.35">
      <c r="A126" s="6" t="s">
        <v>167</v>
      </c>
      <c r="B126" s="14" t="s">
        <v>299</v>
      </c>
      <c r="C126" s="6" t="s">
        <v>96</v>
      </c>
      <c r="D126" s="6" t="s">
        <v>97</v>
      </c>
      <c r="E126" s="6" t="s">
        <v>168</v>
      </c>
      <c r="F126" s="6" t="s">
        <v>169</v>
      </c>
      <c r="G126" s="22">
        <v>15497.7</v>
      </c>
      <c r="H126" s="18">
        <v>46028</v>
      </c>
      <c r="I126" s="15">
        <v>46090</v>
      </c>
      <c r="J126" s="16" t="s">
        <v>172</v>
      </c>
      <c r="K126" s="16" t="s">
        <v>170</v>
      </c>
      <c r="L126" s="16" t="s">
        <v>102</v>
      </c>
      <c r="M126" s="15">
        <f>Таблица1[[#This Row],[Дата окончания ]]-7</f>
        <v>46083</v>
      </c>
      <c r="N126" s="18">
        <f>Таблица1[[#This Row],[Дата окончания ]]-5</f>
        <v>46085</v>
      </c>
      <c r="O126" s="15">
        <f>Таблица1[[#This Row],[Дата окончания ]]-1</f>
        <v>46089</v>
      </c>
      <c r="P126" s="6"/>
    </row>
    <row r="127" spans="1:16" ht="62" x14ac:dyDescent="0.35">
      <c r="A127" s="29" t="s">
        <v>158</v>
      </c>
      <c r="B127" s="23" t="s">
        <v>175</v>
      </c>
      <c r="C127" s="25" t="s">
        <v>116</v>
      </c>
      <c r="D127" s="25" t="s">
        <v>115</v>
      </c>
      <c r="E127" s="25" t="s">
        <v>139</v>
      </c>
      <c r="F127" s="25" t="s">
        <v>118</v>
      </c>
      <c r="G127" s="22">
        <v>8850.6</v>
      </c>
      <c r="H127" s="28">
        <v>45994</v>
      </c>
      <c r="I127" s="18">
        <v>46092</v>
      </c>
      <c r="J127" s="25" t="s">
        <v>117</v>
      </c>
      <c r="K127" s="25" t="s">
        <v>110</v>
      </c>
      <c r="L127" s="25" t="s">
        <v>153</v>
      </c>
      <c r="M127" s="15">
        <f>Таблица1[[#This Row],[Дата окончания ]]-7</f>
        <v>46085</v>
      </c>
      <c r="N127" s="18">
        <f>Таблица1[[#This Row],[Дата окончания ]]-5</f>
        <v>46087</v>
      </c>
      <c r="O127" s="15">
        <f>Таблица1[[#This Row],[Дата окончания ]]-1</f>
        <v>46091</v>
      </c>
      <c r="P127" s="6" t="s">
        <v>301</v>
      </c>
    </row>
    <row r="128" spans="1:16" ht="62" x14ac:dyDescent="0.35">
      <c r="A128" s="6" t="s">
        <v>167</v>
      </c>
      <c r="B128" s="14" t="s">
        <v>302</v>
      </c>
      <c r="C128" s="6" t="s">
        <v>96</v>
      </c>
      <c r="D128" s="6" t="s">
        <v>97</v>
      </c>
      <c r="E128" s="6" t="s">
        <v>168</v>
      </c>
      <c r="F128" s="6" t="s">
        <v>169</v>
      </c>
      <c r="G128" s="22">
        <v>17406.099999999999</v>
      </c>
      <c r="H128" s="18">
        <v>46028</v>
      </c>
      <c r="I128" s="15">
        <v>46092</v>
      </c>
      <c r="J128" s="16" t="s">
        <v>172</v>
      </c>
      <c r="K128" s="16" t="s">
        <v>170</v>
      </c>
      <c r="L128" s="16" t="s">
        <v>102</v>
      </c>
      <c r="M128" s="15">
        <f>Таблица1[[#This Row],[Дата окончания ]]-7</f>
        <v>46085</v>
      </c>
      <c r="N128" s="18">
        <f>Таблица1[[#This Row],[Дата окончания ]]-5</f>
        <v>46087</v>
      </c>
      <c r="O128" s="15">
        <f>Таблица1[[#This Row],[Дата окончания ]]-1</f>
        <v>46091</v>
      </c>
      <c r="P128" s="6" t="s">
        <v>303</v>
      </c>
    </row>
    <row r="129" spans="1:17" ht="31" x14ac:dyDescent="0.35">
      <c r="A129" s="6" t="s">
        <v>167</v>
      </c>
      <c r="B129" s="14" t="s">
        <v>305</v>
      </c>
      <c r="C129" s="6" t="s">
        <v>96</v>
      </c>
      <c r="D129" s="6" t="s">
        <v>97</v>
      </c>
      <c r="E129" s="6" t="s">
        <v>168</v>
      </c>
      <c r="F129" s="6" t="s">
        <v>169</v>
      </c>
      <c r="G129" s="22">
        <v>19853.900000000001</v>
      </c>
      <c r="H129" s="18">
        <v>46028</v>
      </c>
      <c r="I129" s="15">
        <v>46092</v>
      </c>
      <c r="J129" s="16" t="s">
        <v>172</v>
      </c>
      <c r="K129" s="16" t="s">
        <v>170</v>
      </c>
      <c r="L129" s="16" t="s">
        <v>102</v>
      </c>
      <c r="M129" s="15">
        <f>Таблица1[[#This Row],[Дата окончания ]]-7</f>
        <v>46085</v>
      </c>
      <c r="N129" s="18">
        <f>Таблица1[[#This Row],[Дата окончания ]]-5</f>
        <v>46087</v>
      </c>
      <c r="O129" s="15">
        <f>Таблица1[[#This Row],[Дата окончания ]]-1</f>
        <v>46091</v>
      </c>
      <c r="P129" s="6" t="s">
        <v>304</v>
      </c>
    </row>
    <row r="130" spans="1:17" ht="46.5" x14ac:dyDescent="0.35">
      <c r="A130" s="6" t="s">
        <v>306</v>
      </c>
      <c r="B130" s="14" t="s">
        <v>157</v>
      </c>
      <c r="C130" s="6" t="s">
        <v>307</v>
      </c>
      <c r="D130" s="6" t="s">
        <v>308</v>
      </c>
      <c r="E130" s="6" t="s">
        <v>309</v>
      </c>
      <c r="F130" s="6" t="s">
        <v>310</v>
      </c>
      <c r="G130" s="22">
        <v>12404.5</v>
      </c>
      <c r="H130" s="15">
        <v>46084</v>
      </c>
      <c r="I130" s="15">
        <v>46093</v>
      </c>
      <c r="J130" s="6" t="s">
        <v>236</v>
      </c>
      <c r="K130" s="6" t="s">
        <v>311</v>
      </c>
      <c r="L130" s="6" t="s">
        <v>238</v>
      </c>
      <c r="M130" s="15">
        <f>Таблица1[[#This Row],[Дата окончания ]]-7</f>
        <v>46086</v>
      </c>
      <c r="N130" s="18">
        <f>Таблица1[[#This Row],[Дата окончания ]]-5</f>
        <v>46088</v>
      </c>
      <c r="O130" s="15">
        <f>Таблица1[[#This Row],[Дата окончания ]]-1</f>
        <v>46092</v>
      </c>
      <c r="P130" s="6" t="s">
        <v>312</v>
      </c>
    </row>
    <row r="131" spans="1:17" ht="62" x14ac:dyDescent="0.35">
      <c r="A131" s="29" t="s">
        <v>158</v>
      </c>
      <c r="B131" s="23" t="s">
        <v>187</v>
      </c>
      <c r="C131" s="25" t="s">
        <v>116</v>
      </c>
      <c r="D131" s="25" t="s">
        <v>115</v>
      </c>
      <c r="E131" s="25" t="s">
        <v>139</v>
      </c>
      <c r="F131" s="25" t="s">
        <v>118</v>
      </c>
      <c r="G131" s="22">
        <v>11427.300000000001</v>
      </c>
      <c r="H131" s="28">
        <v>45994</v>
      </c>
      <c r="I131" s="18">
        <v>46093</v>
      </c>
      <c r="J131" s="25" t="s">
        <v>117</v>
      </c>
      <c r="K131" s="25" t="s">
        <v>110</v>
      </c>
      <c r="L131" s="25" t="s">
        <v>153</v>
      </c>
      <c r="M131" s="15">
        <f>Таблица1[[#This Row],[Дата окончания ]]-7</f>
        <v>46086</v>
      </c>
      <c r="N131" s="18">
        <f>Таблица1[[#This Row],[Дата окончания ]]-5</f>
        <v>46088</v>
      </c>
      <c r="O131" s="15">
        <f>Таблица1[[#This Row],[Дата окончания ]]-1</f>
        <v>46092</v>
      </c>
      <c r="P131" s="6" t="s">
        <v>313</v>
      </c>
    </row>
    <row r="132" spans="1:17" ht="46.5" x14ac:dyDescent="0.35">
      <c r="A132" s="6" t="s">
        <v>167</v>
      </c>
      <c r="B132" s="14" t="s">
        <v>314</v>
      </c>
      <c r="C132" s="6" t="s">
        <v>96</v>
      </c>
      <c r="D132" s="6" t="s">
        <v>97</v>
      </c>
      <c r="E132" s="6" t="s">
        <v>168</v>
      </c>
      <c r="F132" s="6" t="s">
        <v>169</v>
      </c>
      <c r="G132" s="22">
        <v>19331.5</v>
      </c>
      <c r="H132" s="18">
        <v>46028</v>
      </c>
      <c r="I132" s="15">
        <v>46093</v>
      </c>
      <c r="J132" s="16" t="s">
        <v>172</v>
      </c>
      <c r="K132" s="16" t="s">
        <v>170</v>
      </c>
      <c r="L132" s="16" t="s">
        <v>102</v>
      </c>
      <c r="M132" s="15">
        <f>Таблица1[[#This Row],[Дата окончания ]]-7</f>
        <v>46086</v>
      </c>
      <c r="N132" s="18">
        <f>Таблица1[[#This Row],[Дата окончания ]]-5</f>
        <v>46088</v>
      </c>
      <c r="O132" s="15">
        <f>Таблица1[[#This Row],[Дата окончания ]]-1</f>
        <v>46092</v>
      </c>
      <c r="P132" s="6" t="s">
        <v>315</v>
      </c>
    </row>
    <row r="133" spans="1:17" ht="124" x14ac:dyDescent="0.35">
      <c r="A133" s="6" t="s">
        <v>316</v>
      </c>
      <c r="B133" s="14" t="s">
        <v>157</v>
      </c>
      <c r="C133" s="6" t="s">
        <v>317</v>
      </c>
      <c r="D133" s="6" t="s">
        <v>318</v>
      </c>
      <c r="E133" s="6" t="s">
        <v>319</v>
      </c>
      <c r="F133" s="6" t="s">
        <v>320</v>
      </c>
      <c r="G133" s="22">
        <v>49904.479999999981</v>
      </c>
      <c r="H133" s="15">
        <v>46086</v>
      </c>
      <c r="I133" s="15">
        <v>46113</v>
      </c>
      <c r="J133" s="6" t="s">
        <v>321</v>
      </c>
      <c r="K133" s="6" t="s">
        <v>110</v>
      </c>
      <c r="L133" s="6" t="s">
        <v>322</v>
      </c>
      <c r="M133" s="15">
        <f>Таблица1[[#This Row],[Дата окончания ]]-7</f>
        <v>46106</v>
      </c>
      <c r="N133" s="18">
        <f>Таблица1[[#This Row],[Дата окончания ]]-5</f>
        <v>46108</v>
      </c>
      <c r="O133" s="15">
        <f>Таблица1[[#This Row],[Дата окончания ]]-1</f>
        <v>46112</v>
      </c>
      <c r="P133" s="6" t="s">
        <v>405</v>
      </c>
      <c r="Q133" s="13" t="s">
        <v>404</v>
      </c>
    </row>
    <row r="134" spans="1:17" ht="31" x14ac:dyDescent="0.35">
      <c r="A134" s="6" t="s">
        <v>167</v>
      </c>
      <c r="B134" s="14" t="s">
        <v>323</v>
      </c>
      <c r="C134" s="6" t="s">
        <v>96</v>
      </c>
      <c r="D134" s="6" t="s">
        <v>97</v>
      </c>
      <c r="E134" s="6" t="s">
        <v>168</v>
      </c>
      <c r="F134" s="6" t="s">
        <v>169</v>
      </c>
      <c r="G134" s="22">
        <v>18228.3</v>
      </c>
      <c r="H134" s="18">
        <v>46028</v>
      </c>
      <c r="I134" s="15">
        <v>46094</v>
      </c>
      <c r="J134" s="16" t="s">
        <v>172</v>
      </c>
      <c r="K134" s="16" t="s">
        <v>170</v>
      </c>
      <c r="L134" s="16" t="s">
        <v>102</v>
      </c>
      <c r="M134" s="15">
        <f>Таблица1[[#This Row],[Дата окончания ]]-7</f>
        <v>46087</v>
      </c>
      <c r="N134" s="18">
        <f>Таблица1[[#This Row],[Дата окончания ]]-5</f>
        <v>46089</v>
      </c>
      <c r="O134" s="15">
        <f>Таблица1[[#This Row],[Дата окончания ]]-1</f>
        <v>46093</v>
      </c>
      <c r="P134" s="6" t="s">
        <v>324</v>
      </c>
    </row>
    <row r="135" spans="1:17" ht="46.5" x14ac:dyDescent="0.35">
      <c r="A135" s="6" t="s">
        <v>167</v>
      </c>
      <c r="B135" s="14" t="s">
        <v>325</v>
      </c>
      <c r="C135" s="6" t="s">
        <v>96</v>
      </c>
      <c r="D135" s="6" t="s">
        <v>97</v>
      </c>
      <c r="E135" s="6" t="s">
        <v>168</v>
      </c>
      <c r="F135" s="6" t="s">
        <v>169</v>
      </c>
      <c r="G135" s="22">
        <v>20571.2</v>
      </c>
      <c r="H135" s="18">
        <v>46028</v>
      </c>
      <c r="I135" s="15">
        <v>46094</v>
      </c>
      <c r="J135" s="16" t="s">
        <v>172</v>
      </c>
      <c r="K135" s="16" t="s">
        <v>170</v>
      </c>
      <c r="L135" s="16" t="s">
        <v>102</v>
      </c>
      <c r="M135" s="15">
        <f>Таблица1[[#This Row],[Дата окончания ]]-7</f>
        <v>46087</v>
      </c>
      <c r="N135" s="18">
        <f>Таблица1[[#This Row],[Дата окончания ]]-5</f>
        <v>46089</v>
      </c>
      <c r="O135" s="15">
        <f>Таблица1[[#This Row],[Дата окончания ]]-1</f>
        <v>46093</v>
      </c>
      <c r="P135" s="6" t="s">
        <v>326</v>
      </c>
    </row>
    <row r="136" spans="1:17" ht="62" x14ac:dyDescent="0.35">
      <c r="A136" s="29" t="s">
        <v>158</v>
      </c>
      <c r="B136" s="23" t="s">
        <v>189</v>
      </c>
      <c r="C136" s="25" t="s">
        <v>116</v>
      </c>
      <c r="D136" s="25" t="s">
        <v>115</v>
      </c>
      <c r="E136" s="25" t="s">
        <v>139</v>
      </c>
      <c r="F136" s="25" t="s">
        <v>118</v>
      </c>
      <c r="G136" s="22">
        <v>9181.5</v>
      </c>
      <c r="H136" s="28">
        <v>45994</v>
      </c>
      <c r="I136" s="18">
        <v>46094</v>
      </c>
      <c r="J136" s="25" t="s">
        <v>117</v>
      </c>
      <c r="K136" s="25" t="s">
        <v>110</v>
      </c>
      <c r="L136" s="25" t="s">
        <v>153</v>
      </c>
      <c r="M136" s="15">
        <f>Таблица1[[#This Row],[Дата окончания ]]-7</f>
        <v>46087</v>
      </c>
      <c r="N136" s="18">
        <f>Таблица1[[#This Row],[Дата окончания ]]-5</f>
        <v>46089</v>
      </c>
      <c r="O136" s="15">
        <f>Таблица1[[#This Row],[Дата окончания ]]-1</f>
        <v>46093</v>
      </c>
      <c r="P136" s="6" t="s">
        <v>327</v>
      </c>
    </row>
    <row r="137" spans="1:17" ht="31" x14ac:dyDescent="0.35">
      <c r="A137" s="6" t="s">
        <v>167</v>
      </c>
      <c r="B137" s="14" t="s">
        <v>328</v>
      </c>
      <c r="C137" s="6" t="s">
        <v>96</v>
      </c>
      <c r="D137" s="6" t="s">
        <v>97</v>
      </c>
      <c r="E137" s="6" t="s">
        <v>168</v>
      </c>
      <c r="F137" s="6" t="s">
        <v>169</v>
      </c>
      <c r="G137" s="22">
        <v>18438.400000000001</v>
      </c>
      <c r="H137" s="18">
        <v>46028</v>
      </c>
      <c r="I137" s="15">
        <v>46097</v>
      </c>
      <c r="J137" s="16" t="s">
        <v>172</v>
      </c>
      <c r="K137" s="16" t="s">
        <v>170</v>
      </c>
      <c r="L137" s="16" t="s">
        <v>102</v>
      </c>
      <c r="M137" s="15">
        <f>Таблица1[[#This Row],[Дата окончания ]]-7</f>
        <v>46090</v>
      </c>
      <c r="N137" s="18">
        <f>Таблица1[[#This Row],[Дата окончания ]]-5</f>
        <v>46092</v>
      </c>
      <c r="O137" s="15">
        <f>Таблица1[[#This Row],[Дата окончания ]]-1</f>
        <v>46096</v>
      </c>
      <c r="P137" s="6"/>
    </row>
    <row r="138" spans="1:17" ht="31" x14ac:dyDescent="0.35">
      <c r="A138" s="6" t="s">
        <v>167</v>
      </c>
      <c r="B138" s="14" t="s">
        <v>329</v>
      </c>
      <c r="C138" s="6" t="s">
        <v>96</v>
      </c>
      <c r="D138" s="6" t="s">
        <v>97</v>
      </c>
      <c r="E138" s="6" t="s">
        <v>168</v>
      </c>
      <c r="F138" s="6" t="s">
        <v>169</v>
      </c>
      <c r="G138" s="22">
        <v>7074</v>
      </c>
      <c r="H138" s="18">
        <v>46028</v>
      </c>
      <c r="I138" s="15">
        <v>46097</v>
      </c>
      <c r="J138" s="16" t="s">
        <v>172</v>
      </c>
      <c r="K138" s="16" t="s">
        <v>170</v>
      </c>
      <c r="L138" s="16" t="s">
        <v>102</v>
      </c>
      <c r="M138" s="15">
        <f>Таблица1[[#This Row],[Дата окончания ]]-7</f>
        <v>46090</v>
      </c>
      <c r="N138" s="18">
        <f>Таблица1[[#This Row],[Дата окончания ]]-5</f>
        <v>46092</v>
      </c>
      <c r="O138" s="15">
        <f>Таблица1[[#This Row],[Дата окончания ]]-1</f>
        <v>46096</v>
      </c>
      <c r="P138" s="6"/>
    </row>
    <row r="139" spans="1:17" ht="31" x14ac:dyDescent="0.35">
      <c r="A139" s="6" t="s">
        <v>167</v>
      </c>
      <c r="B139" s="14" t="s">
        <v>330</v>
      </c>
      <c r="C139" s="6" t="s">
        <v>96</v>
      </c>
      <c r="D139" s="6" t="s">
        <v>97</v>
      </c>
      <c r="E139" s="6" t="s">
        <v>168</v>
      </c>
      <c r="F139" s="6" t="s">
        <v>169</v>
      </c>
      <c r="G139" s="22">
        <v>16633.8</v>
      </c>
      <c r="H139" s="18">
        <v>46028</v>
      </c>
      <c r="I139" s="15">
        <v>46097</v>
      </c>
      <c r="J139" s="16" t="s">
        <v>172</v>
      </c>
      <c r="K139" s="16" t="s">
        <v>170</v>
      </c>
      <c r="L139" s="16" t="s">
        <v>102</v>
      </c>
      <c r="M139" s="15">
        <f>Таблица1[[#This Row],[Дата окончания ]]-7</f>
        <v>46090</v>
      </c>
      <c r="N139" s="18">
        <f>Таблица1[[#This Row],[Дата окончания ]]-5</f>
        <v>46092</v>
      </c>
      <c r="O139" s="15">
        <f>Таблица1[[#This Row],[Дата окончания ]]-1</f>
        <v>46096</v>
      </c>
      <c r="P139" s="6"/>
    </row>
    <row r="140" spans="1:17" ht="31" x14ac:dyDescent="0.35">
      <c r="A140" s="6" t="s">
        <v>331</v>
      </c>
      <c r="B140" s="23" t="s">
        <v>157</v>
      </c>
      <c r="C140" s="6" t="s">
        <v>334</v>
      </c>
      <c r="D140" s="6" t="s">
        <v>294</v>
      </c>
      <c r="E140" s="6" t="s">
        <v>335</v>
      </c>
      <c r="F140" s="6" t="s">
        <v>333</v>
      </c>
      <c r="G140" s="22">
        <v>6972.9800000000005</v>
      </c>
      <c r="H140" s="15">
        <v>46082</v>
      </c>
      <c r="I140" s="15">
        <v>46098</v>
      </c>
      <c r="J140" s="30" t="s">
        <v>343</v>
      </c>
      <c r="K140" s="25" t="s">
        <v>110</v>
      </c>
      <c r="L140" s="6" t="s">
        <v>336</v>
      </c>
      <c r="M140" s="15">
        <f>Таблица1[[#This Row],[Дата окончания ]]-7</f>
        <v>46091</v>
      </c>
      <c r="N140" s="18">
        <f>Таблица1[[#This Row],[Дата окончания ]]-5</f>
        <v>46093</v>
      </c>
      <c r="O140" s="15">
        <f>Таблица1[[#This Row],[Дата окончания ]]-1</f>
        <v>46097</v>
      </c>
      <c r="P140" s="6" t="s">
        <v>337</v>
      </c>
    </row>
    <row r="141" spans="1:17" ht="62" x14ac:dyDescent="0.35">
      <c r="A141" s="6" t="s">
        <v>291</v>
      </c>
      <c r="B141" s="14" t="s">
        <v>332</v>
      </c>
      <c r="C141" s="6" t="s">
        <v>293</v>
      </c>
      <c r="D141" s="6" t="s">
        <v>294</v>
      </c>
      <c r="E141" s="6" t="s">
        <v>146</v>
      </c>
      <c r="F141" s="6" t="s">
        <v>149</v>
      </c>
      <c r="G141" s="22">
        <v>12653.01</v>
      </c>
      <c r="H141" s="15">
        <v>45932</v>
      </c>
      <c r="I141" s="15">
        <v>46098</v>
      </c>
      <c r="J141" s="6" t="s">
        <v>150</v>
      </c>
      <c r="K141" s="6" t="s">
        <v>110</v>
      </c>
      <c r="L141" s="6" t="s">
        <v>151</v>
      </c>
      <c r="M141" s="15">
        <f>Таблица1[[#This Row],[Дата окончания ]]-7</f>
        <v>46091</v>
      </c>
      <c r="N141" s="18">
        <f>Таблица1[[#This Row],[Дата окончания ]]-5</f>
        <v>46093</v>
      </c>
      <c r="O141" s="15">
        <f>Таблица1[[#This Row],[Дата окончания ]]-1</f>
        <v>46097</v>
      </c>
      <c r="P141" s="6"/>
    </row>
    <row r="142" spans="1:17" ht="62" x14ac:dyDescent="0.35">
      <c r="A142" s="6" t="s">
        <v>167</v>
      </c>
      <c r="B142" s="14" t="s">
        <v>338</v>
      </c>
      <c r="C142" s="6" t="s">
        <v>96</v>
      </c>
      <c r="D142" s="6" t="s">
        <v>97</v>
      </c>
      <c r="E142" s="6" t="s">
        <v>168</v>
      </c>
      <c r="F142" s="6" t="s">
        <v>169</v>
      </c>
      <c r="G142" s="22">
        <v>19465.2</v>
      </c>
      <c r="H142" s="18">
        <v>46028</v>
      </c>
      <c r="I142" s="15">
        <v>46099</v>
      </c>
      <c r="J142" s="16" t="s">
        <v>172</v>
      </c>
      <c r="K142" s="16" t="s">
        <v>170</v>
      </c>
      <c r="L142" s="16" t="s">
        <v>102</v>
      </c>
      <c r="M142" s="15">
        <f>Таблица1[[#This Row],[Дата окончания ]]-7</f>
        <v>46092</v>
      </c>
      <c r="N142" s="18">
        <f>Таблица1[[#This Row],[Дата окончания ]]-5</f>
        <v>46094</v>
      </c>
      <c r="O142" s="15">
        <f>Таблица1[[#This Row],[Дата окончания ]]-1</f>
        <v>46098</v>
      </c>
      <c r="P142" s="6" t="s">
        <v>339</v>
      </c>
    </row>
    <row r="143" spans="1:17" ht="62" x14ac:dyDescent="0.35">
      <c r="A143" s="29" t="s">
        <v>158</v>
      </c>
      <c r="B143" s="23" t="s">
        <v>190</v>
      </c>
      <c r="C143" s="25" t="s">
        <v>116</v>
      </c>
      <c r="D143" s="25" t="s">
        <v>115</v>
      </c>
      <c r="E143" s="25" t="s">
        <v>139</v>
      </c>
      <c r="F143" s="25" t="s">
        <v>118</v>
      </c>
      <c r="G143" s="22">
        <v>11145.5</v>
      </c>
      <c r="H143" s="28">
        <v>45994</v>
      </c>
      <c r="I143" s="18">
        <v>46099</v>
      </c>
      <c r="J143" s="25" t="s">
        <v>117</v>
      </c>
      <c r="K143" s="25" t="s">
        <v>110</v>
      </c>
      <c r="L143" s="25" t="s">
        <v>153</v>
      </c>
      <c r="M143" s="15">
        <f>Таблица1[[#This Row],[Дата окончания ]]-7</f>
        <v>46092</v>
      </c>
      <c r="N143" s="18">
        <f>Таблица1[[#This Row],[Дата окончания ]]-5</f>
        <v>46094</v>
      </c>
      <c r="O143" s="15">
        <f>Таблица1[[#This Row],[Дата окончания ]]-1</f>
        <v>46098</v>
      </c>
      <c r="P143" s="6" t="s">
        <v>340</v>
      </c>
    </row>
    <row r="144" spans="1:17" s="24" customFormat="1" ht="31" x14ac:dyDescent="0.35">
      <c r="A144" s="16" t="s">
        <v>167</v>
      </c>
      <c r="B144" s="23" t="s">
        <v>341</v>
      </c>
      <c r="C144" s="16" t="s">
        <v>96</v>
      </c>
      <c r="D144" s="16" t="s">
        <v>97</v>
      </c>
      <c r="E144" s="16" t="s">
        <v>168</v>
      </c>
      <c r="F144" s="16" t="s">
        <v>169</v>
      </c>
      <c r="G144" s="21">
        <v>8488.7999999999993</v>
      </c>
      <c r="H144" s="18">
        <v>46028</v>
      </c>
      <c r="I144" s="18">
        <v>46100</v>
      </c>
      <c r="J144" s="16" t="s">
        <v>172</v>
      </c>
      <c r="K144" s="16" t="s">
        <v>170</v>
      </c>
      <c r="L144" s="16" t="s">
        <v>102</v>
      </c>
      <c r="M144" s="15">
        <f>Таблица1[[#This Row],[Дата окончания ]]-7</f>
        <v>46093</v>
      </c>
      <c r="N144" s="18">
        <f>Таблица1[[#This Row],[Дата окончания ]]-5</f>
        <v>46095</v>
      </c>
      <c r="O144" s="18">
        <f>Таблица1[[#This Row],[Дата окончания ]]-1</f>
        <v>46099</v>
      </c>
      <c r="P144" s="16" t="s">
        <v>342</v>
      </c>
      <c r="Q144" s="24" t="s">
        <v>356</v>
      </c>
    </row>
    <row r="145" spans="1:16" ht="46.5" x14ac:dyDescent="0.35">
      <c r="A145" s="6" t="s">
        <v>306</v>
      </c>
      <c r="B145" s="14" t="s">
        <v>159</v>
      </c>
      <c r="C145" s="6" t="s">
        <v>307</v>
      </c>
      <c r="D145" s="6" t="s">
        <v>308</v>
      </c>
      <c r="E145" s="6" t="s">
        <v>309</v>
      </c>
      <c r="F145" s="6" t="s">
        <v>310</v>
      </c>
      <c r="G145" s="22">
        <v>17034.099999999999</v>
      </c>
      <c r="H145" s="15">
        <v>46084</v>
      </c>
      <c r="I145" s="15">
        <v>46099</v>
      </c>
      <c r="J145" s="6" t="s">
        <v>236</v>
      </c>
      <c r="K145" s="6" t="s">
        <v>311</v>
      </c>
      <c r="L145" s="6" t="s">
        <v>238</v>
      </c>
      <c r="M145" s="15">
        <f>Таблица1[[#This Row],[Дата окончания ]]-7</f>
        <v>46092</v>
      </c>
      <c r="N145" s="18">
        <f>Таблица1[[#This Row],[Дата окончания ]]-5</f>
        <v>46094</v>
      </c>
      <c r="O145" s="15">
        <f>Таблица1[[#This Row],[Дата окончания ]]-1</f>
        <v>46098</v>
      </c>
      <c r="P145" s="6" t="s">
        <v>312</v>
      </c>
    </row>
    <row r="146" spans="1:16" ht="62" x14ac:dyDescent="0.35">
      <c r="A146" s="29" t="s">
        <v>360</v>
      </c>
      <c r="B146" s="14" t="s">
        <v>157</v>
      </c>
      <c r="C146" s="25" t="s">
        <v>116</v>
      </c>
      <c r="D146" s="25" t="s">
        <v>115</v>
      </c>
      <c r="E146" s="25" t="s">
        <v>344</v>
      </c>
      <c r="F146" s="6" t="s">
        <v>346</v>
      </c>
      <c r="G146" s="22">
        <v>15279.040000000003</v>
      </c>
      <c r="H146" s="15">
        <v>46063</v>
      </c>
      <c r="I146" s="15">
        <v>46100</v>
      </c>
      <c r="J146" s="6" t="s">
        <v>345</v>
      </c>
      <c r="K146" s="25" t="s">
        <v>110</v>
      </c>
      <c r="L146" s="6" t="s">
        <v>347</v>
      </c>
      <c r="M146" s="15">
        <f>Таблица1[[#This Row],[Дата окончания ]]-7</f>
        <v>46093</v>
      </c>
      <c r="N146" s="18">
        <f>Таблица1[[#This Row],[Дата окончания ]]-5</f>
        <v>46095</v>
      </c>
      <c r="O146" s="15">
        <f>Таблица1[[#This Row],[Дата окончания ]]-1</f>
        <v>46099</v>
      </c>
      <c r="P146" s="6" t="s">
        <v>349</v>
      </c>
    </row>
    <row r="147" spans="1:16" ht="62" x14ac:dyDescent="0.35">
      <c r="A147" s="29" t="s">
        <v>158</v>
      </c>
      <c r="B147" s="23" t="s">
        <v>218</v>
      </c>
      <c r="C147" s="25" t="s">
        <v>116</v>
      </c>
      <c r="D147" s="25" t="s">
        <v>115</v>
      </c>
      <c r="E147" s="25" t="s">
        <v>139</v>
      </c>
      <c r="F147" s="25" t="s">
        <v>118</v>
      </c>
      <c r="G147" s="22">
        <v>4359.5</v>
      </c>
      <c r="H147" s="28">
        <v>45994</v>
      </c>
      <c r="I147" s="18">
        <v>46100</v>
      </c>
      <c r="J147" s="25" t="s">
        <v>117</v>
      </c>
      <c r="K147" s="25" t="s">
        <v>110</v>
      </c>
      <c r="L147" s="25" t="s">
        <v>153</v>
      </c>
      <c r="M147" s="15">
        <f>Таблица1[[#This Row],[Дата окончания ]]-7</f>
        <v>46093</v>
      </c>
      <c r="N147" s="18">
        <f>Таблица1[[#This Row],[Дата окончания ]]-5</f>
        <v>46095</v>
      </c>
      <c r="O147" s="15">
        <f>Таблица1[[#This Row],[Дата окончания ]]-1</f>
        <v>46099</v>
      </c>
      <c r="P147" s="6" t="s">
        <v>348</v>
      </c>
    </row>
    <row r="148" spans="1:16" s="24" customFormat="1" ht="31" x14ac:dyDescent="0.35">
      <c r="A148" s="16" t="s">
        <v>167</v>
      </c>
      <c r="B148" s="23" t="s">
        <v>350</v>
      </c>
      <c r="C148" s="16" t="s">
        <v>96</v>
      </c>
      <c r="D148" s="16" t="s">
        <v>97</v>
      </c>
      <c r="E148" s="16" t="s">
        <v>168</v>
      </c>
      <c r="F148" s="16" t="s">
        <v>169</v>
      </c>
      <c r="G148" s="21">
        <v>18157.3</v>
      </c>
      <c r="H148" s="18">
        <v>46028</v>
      </c>
      <c r="I148" s="18">
        <v>46101</v>
      </c>
      <c r="J148" s="16" t="s">
        <v>172</v>
      </c>
      <c r="K148" s="16" t="s">
        <v>170</v>
      </c>
      <c r="L148" s="16" t="s">
        <v>102</v>
      </c>
      <c r="M148" s="15">
        <f>Таблица1[[#This Row],[Дата окончания ]]-7</f>
        <v>46094</v>
      </c>
      <c r="N148" s="18">
        <f>Таблица1[[#This Row],[Дата окончания ]]-5</f>
        <v>46096</v>
      </c>
      <c r="O148" s="18">
        <f>Таблица1[[#This Row],[Дата окончания ]]-1</f>
        <v>46100</v>
      </c>
      <c r="P148" s="16" t="s">
        <v>351</v>
      </c>
    </row>
    <row r="149" spans="1:16" ht="31" x14ac:dyDescent="0.35">
      <c r="A149" s="6" t="s">
        <v>217</v>
      </c>
      <c r="B149" s="14" t="s">
        <v>352</v>
      </c>
      <c r="C149" s="6" t="s">
        <v>96</v>
      </c>
      <c r="D149" s="6" t="s">
        <v>97</v>
      </c>
      <c r="E149" s="6" t="s">
        <v>98</v>
      </c>
      <c r="F149" s="6" t="s">
        <v>99</v>
      </c>
      <c r="G149" s="22">
        <v>75.900000000000006</v>
      </c>
      <c r="H149" s="34">
        <v>46032</v>
      </c>
      <c r="I149" s="15">
        <v>46101</v>
      </c>
      <c r="J149" s="27" t="s">
        <v>125</v>
      </c>
      <c r="K149" s="27" t="s">
        <v>101</v>
      </c>
      <c r="L149" s="27" t="s">
        <v>102</v>
      </c>
      <c r="M149" s="15">
        <f>Таблица1[[#This Row],[Дата окончания ]]-7</f>
        <v>46094</v>
      </c>
      <c r="N149" s="18">
        <f>Таблица1[[#This Row],[Дата окончания ]]-5</f>
        <v>46096</v>
      </c>
      <c r="O149" s="15">
        <f>Таблица1[[#This Row],[Дата окончания ]]-1</f>
        <v>46100</v>
      </c>
      <c r="P149" s="6" t="s">
        <v>353</v>
      </c>
    </row>
    <row r="150" spans="1:16" ht="62" x14ac:dyDescent="0.35">
      <c r="A150" s="29" t="s">
        <v>360</v>
      </c>
      <c r="B150" s="14" t="s">
        <v>159</v>
      </c>
      <c r="C150" s="25" t="s">
        <v>116</v>
      </c>
      <c r="D150" s="25" t="s">
        <v>115</v>
      </c>
      <c r="E150" s="25" t="s">
        <v>344</v>
      </c>
      <c r="F150" s="6" t="s">
        <v>346</v>
      </c>
      <c r="G150" s="22">
        <v>18604.810000000001</v>
      </c>
      <c r="H150" s="15">
        <v>46063</v>
      </c>
      <c r="I150" s="15">
        <v>46101</v>
      </c>
      <c r="J150" s="6" t="s">
        <v>345</v>
      </c>
      <c r="K150" s="25" t="s">
        <v>110</v>
      </c>
      <c r="L150" s="6" t="s">
        <v>347</v>
      </c>
      <c r="M150" s="15">
        <f>Таблица1[[#This Row],[Дата окончания ]]-7</f>
        <v>46094</v>
      </c>
      <c r="N150" s="18">
        <f>Таблица1[[#This Row],[Дата окончания ]]-5</f>
        <v>46096</v>
      </c>
      <c r="O150" s="15">
        <f>Таблица1[[#This Row],[Дата окончания ]]-1</f>
        <v>46100</v>
      </c>
      <c r="P150" s="6" t="s">
        <v>354</v>
      </c>
    </row>
    <row r="151" spans="1:16" ht="31" x14ac:dyDescent="0.35">
      <c r="A151" s="16" t="s">
        <v>167</v>
      </c>
      <c r="B151" s="23" t="s">
        <v>355</v>
      </c>
      <c r="C151" s="16" t="s">
        <v>96</v>
      </c>
      <c r="D151" s="16" t="s">
        <v>97</v>
      </c>
      <c r="E151" s="16" t="s">
        <v>168</v>
      </c>
      <c r="F151" s="16" t="s">
        <v>169</v>
      </c>
      <c r="G151" s="21">
        <v>9920.1</v>
      </c>
      <c r="H151" s="18">
        <v>46028</v>
      </c>
      <c r="I151" s="18">
        <v>46101</v>
      </c>
      <c r="J151" s="16" t="s">
        <v>172</v>
      </c>
      <c r="K151" s="16" t="s">
        <v>170</v>
      </c>
      <c r="L151" s="16" t="s">
        <v>102</v>
      </c>
      <c r="M151" s="15">
        <f>Таблица1[[#This Row],[Дата окончания ]]-7</f>
        <v>46094</v>
      </c>
      <c r="N151" s="18">
        <f>Таблица1[[#This Row],[Дата окончания ]]-5</f>
        <v>46096</v>
      </c>
      <c r="O151" s="18">
        <f>Таблица1[[#This Row],[Дата окончания ]]-1</f>
        <v>46100</v>
      </c>
      <c r="P151" s="6" t="s">
        <v>357</v>
      </c>
    </row>
    <row r="152" spans="1:16" ht="31" x14ac:dyDescent="0.35">
      <c r="A152" s="16" t="s">
        <v>167</v>
      </c>
      <c r="B152" s="14" t="s">
        <v>358</v>
      </c>
      <c r="C152" s="16" t="s">
        <v>96</v>
      </c>
      <c r="D152" s="16" t="s">
        <v>97</v>
      </c>
      <c r="E152" s="16" t="s">
        <v>168</v>
      </c>
      <c r="F152" s="16" t="s">
        <v>169</v>
      </c>
      <c r="G152" s="22">
        <v>9472.2000000000007</v>
      </c>
      <c r="H152" s="18">
        <v>46028</v>
      </c>
      <c r="I152" s="18">
        <v>46102</v>
      </c>
      <c r="J152" s="16" t="s">
        <v>172</v>
      </c>
      <c r="K152" s="16" t="s">
        <v>170</v>
      </c>
      <c r="L152" s="16" t="s">
        <v>102</v>
      </c>
      <c r="M152" s="15">
        <f>Таблица1[[#This Row],[Дата окончания ]]-7</f>
        <v>46095</v>
      </c>
      <c r="N152" s="18">
        <f>Таблица1[[#This Row],[Дата окончания ]]-5</f>
        <v>46097</v>
      </c>
      <c r="O152" s="15">
        <f>Таблица1[[#This Row],[Дата окончания ]]-1</f>
        <v>46101</v>
      </c>
      <c r="P152" s="6" t="s">
        <v>359</v>
      </c>
    </row>
    <row r="153" spans="1:16" ht="31" x14ac:dyDescent="0.35">
      <c r="A153" s="16" t="s">
        <v>167</v>
      </c>
      <c r="B153" s="14" t="s">
        <v>361</v>
      </c>
      <c r="C153" s="16" t="s">
        <v>96</v>
      </c>
      <c r="D153" s="16" t="s">
        <v>97</v>
      </c>
      <c r="E153" s="16" t="s">
        <v>168</v>
      </c>
      <c r="F153" s="16" t="s">
        <v>169</v>
      </c>
      <c r="G153" s="22">
        <v>9835.2000000000007</v>
      </c>
      <c r="H153" s="18">
        <v>46028</v>
      </c>
      <c r="I153" s="15">
        <v>46104</v>
      </c>
      <c r="J153" s="16" t="s">
        <v>172</v>
      </c>
      <c r="K153" s="16" t="s">
        <v>170</v>
      </c>
      <c r="L153" s="16" t="s">
        <v>102</v>
      </c>
      <c r="M153" s="15">
        <f>Таблица1[[#This Row],[Дата окончания ]]-7</f>
        <v>46097</v>
      </c>
      <c r="N153" s="18">
        <f>Таблица1[[#This Row],[Дата окончания ]]-5</f>
        <v>46099</v>
      </c>
      <c r="O153" s="15">
        <f>Таблица1[[#This Row],[Дата окончания ]]-1</f>
        <v>46103</v>
      </c>
      <c r="P153" s="6" t="s">
        <v>362</v>
      </c>
    </row>
    <row r="154" spans="1:16" ht="62" x14ac:dyDescent="0.35">
      <c r="A154" s="29" t="s">
        <v>158</v>
      </c>
      <c r="B154" s="23" t="s">
        <v>225</v>
      </c>
      <c r="C154" s="25" t="s">
        <v>116</v>
      </c>
      <c r="D154" s="25" t="s">
        <v>115</v>
      </c>
      <c r="E154" s="25" t="s">
        <v>139</v>
      </c>
      <c r="F154" s="25" t="s">
        <v>118</v>
      </c>
      <c r="G154" s="22">
        <v>14326.6</v>
      </c>
      <c r="H154" s="28">
        <v>45994</v>
      </c>
      <c r="I154" s="18">
        <v>46104</v>
      </c>
      <c r="J154" s="25" t="s">
        <v>117</v>
      </c>
      <c r="K154" s="25" t="s">
        <v>110</v>
      </c>
      <c r="L154" s="25" t="s">
        <v>153</v>
      </c>
      <c r="M154" s="15">
        <f>Таблица1[[#This Row],[Дата окончания ]]-7</f>
        <v>46097</v>
      </c>
      <c r="N154" s="18">
        <f>Таблица1[[#This Row],[Дата окончания ]]-5</f>
        <v>46099</v>
      </c>
      <c r="O154" s="15">
        <f>Таблица1[[#This Row],[Дата окончания ]]-1</f>
        <v>46103</v>
      </c>
      <c r="P154" s="6" t="s">
        <v>363</v>
      </c>
    </row>
    <row r="155" spans="1:16" ht="31" x14ac:dyDescent="0.35">
      <c r="A155" s="16" t="s">
        <v>167</v>
      </c>
      <c r="B155" s="14" t="s">
        <v>364</v>
      </c>
      <c r="C155" s="16" t="s">
        <v>96</v>
      </c>
      <c r="D155" s="16" t="s">
        <v>97</v>
      </c>
      <c r="E155" s="16" t="s">
        <v>168</v>
      </c>
      <c r="F155" s="16" t="s">
        <v>169</v>
      </c>
      <c r="G155" s="22">
        <v>9769</v>
      </c>
      <c r="H155" s="18">
        <v>46028</v>
      </c>
      <c r="I155" s="15">
        <v>46105</v>
      </c>
      <c r="J155" s="16" t="s">
        <v>172</v>
      </c>
      <c r="K155" s="16" t="s">
        <v>170</v>
      </c>
      <c r="L155" s="16" t="s">
        <v>102</v>
      </c>
      <c r="M155" s="15">
        <f>Таблица1[[#This Row],[Дата окончания ]]-7</f>
        <v>46098</v>
      </c>
      <c r="N155" s="18">
        <f>Таблица1[[#This Row],[Дата окончания ]]-5</f>
        <v>46100</v>
      </c>
      <c r="O155" s="15">
        <f>Таблица1[[#This Row],[Дата окончания ]]-1</f>
        <v>46104</v>
      </c>
      <c r="P155" s="6" t="s">
        <v>365</v>
      </c>
    </row>
    <row r="156" spans="1:16" ht="46.5" x14ac:dyDescent="0.35">
      <c r="A156" s="6" t="s">
        <v>306</v>
      </c>
      <c r="B156" s="14" t="s">
        <v>162</v>
      </c>
      <c r="C156" s="6" t="s">
        <v>307</v>
      </c>
      <c r="D156" s="6" t="s">
        <v>308</v>
      </c>
      <c r="E156" s="6" t="s">
        <v>309</v>
      </c>
      <c r="F156" s="6" t="s">
        <v>310</v>
      </c>
      <c r="G156" s="22">
        <v>21.873999999999999</v>
      </c>
      <c r="H156" s="15">
        <v>46084</v>
      </c>
      <c r="I156" s="15">
        <v>46105</v>
      </c>
      <c r="J156" s="6" t="s">
        <v>236</v>
      </c>
      <c r="K156" s="6" t="s">
        <v>311</v>
      </c>
      <c r="L156" s="6" t="s">
        <v>238</v>
      </c>
      <c r="M156" s="15">
        <f>Таблица1[[#This Row],[Дата окончания ]]-7</f>
        <v>46098</v>
      </c>
      <c r="N156" s="18">
        <f>Таблица1[[#This Row],[Дата окончания ]]-5</f>
        <v>46100</v>
      </c>
      <c r="O156" s="15">
        <f>Таблица1[[#This Row],[Дата окончания ]]-1</f>
        <v>46104</v>
      </c>
      <c r="P156" s="6" t="s">
        <v>312</v>
      </c>
    </row>
    <row r="157" spans="1:16" ht="62" x14ac:dyDescent="0.35">
      <c r="A157" s="29" t="s">
        <v>360</v>
      </c>
      <c r="B157" s="14" t="s">
        <v>162</v>
      </c>
      <c r="C157" s="25" t="s">
        <v>116</v>
      </c>
      <c r="D157" s="25" t="s">
        <v>115</v>
      </c>
      <c r="E157" s="25" t="s">
        <v>344</v>
      </c>
      <c r="F157" s="6" t="s">
        <v>346</v>
      </c>
      <c r="G157" s="22">
        <v>19551.009999999998</v>
      </c>
      <c r="H157" s="15">
        <v>46063</v>
      </c>
      <c r="I157" s="15">
        <v>46105</v>
      </c>
      <c r="J157" s="6" t="s">
        <v>345</v>
      </c>
      <c r="K157" s="25" t="s">
        <v>110</v>
      </c>
      <c r="L157" s="6" t="s">
        <v>347</v>
      </c>
      <c r="M157" s="15">
        <f>Таблица1[[#This Row],[Дата окончания ]]-7</f>
        <v>46098</v>
      </c>
      <c r="N157" s="18">
        <f>Таблица1[[#This Row],[Дата окончания ]]-5</f>
        <v>46100</v>
      </c>
      <c r="O157" s="15">
        <f>Таблица1[[#This Row],[Дата окончания ]]-1</f>
        <v>46104</v>
      </c>
      <c r="P157" s="6" t="s">
        <v>366</v>
      </c>
    </row>
    <row r="158" spans="1:16" ht="31" x14ac:dyDescent="0.35">
      <c r="A158" s="16" t="s">
        <v>167</v>
      </c>
      <c r="B158" s="14" t="s">
        <v>367</v>
      </c>
      <c r="C158" s="16" t="s">
        <v>96</v>
      </c>
      <c r="D158" s="16" t="s">
        <v>97</v>
      </c>
      <c r="E158" s="16" t="s">
        <v>168</v>
      </c>
      <c r="F158" s="16" t="s">
        <v>169</v>
      </c>
      <c r="G158" s="22">
        <v>9628</v>
      </c>
      <c r="H158" s="18">
        <v>46028</v>
      </c>
      <c r="I158" s="15">
        <v>46106</v>
      </c>
      <c r="J158" s="16" t="s">
        <v>172</v>
      </c>
      <c r="K158" s="16" t="s">
        <v>170</v>
      </c>
      <c r="L158" s="16" t="s">
        <v>102</v>
      </c>
      <c r="M158" s="15">
        <f>Таблица1[[#This Row],[Дата окончания ]]-7</f>
        <v>46099</v>
      </c>
      <c r="N158" s="18">
        <f>Таблица1[[#This Row],[Дата окончания ]]-5</f>
        <v>46101</v>
      </c>
      <c r="O158" s="15">
        <f>Таблица1[[#This Row],[Дата окончания ]]-1</f>
        <v>46105</v>
      </c>
      <c r="P158" s="6" t="s">
        <v>368</v>
      </c>
    </row>
    <row r="159" spans="1:16" ht="31" x14ac:dyDescent="0.35">
      <c r="A159" s="16" t="s">
        <v>167</v>
      </c>
      <c r="B159" s="14" t="s">
        <v>369</v>
      </c>
      <c r="C159" s="16" t="s">
        <v>96</v>
      </c>
      <c r="D159" s="16" t="s">
        <v>97</v>
      </c>
      <c r="E159" s="16" t="s">
        <v>168</v>
      </c>
      <c r="F159" s="16" t="s">
        <v>169</v>
      </c>
      <c r="G159" s="22">
        <v>9937.4</v>
      </c>
      <c r="H159" s="18">
        <v>46028</v>
      </c>
      <c r="I159" s="15">
        <v>46106</v>
      </c>
      <c r="J159" s="16" t="s">
        <v>172</v>
      </c>
      <c r="K159" s="16" t="s">
        <v>170</v>
      </c>
      <c r="L159" s="16" t="s">
        <v>102</v>
      </c>
      <c r="M159" s="15">
        <f>Таблица1[[#This Row],[Дата окончания ]]-7</f>
        <v>46099</v>
      </c>
      <c r="N159" s="18">
        <f>Таблица1[[#This Row],[Дата окончания ]]-5</f>
        <v>46101</v>
      </c>
      <c r="O159" s="15">
        <f>Таблица1[[#This Row],[Дата окончания ]]-1</f>
        <v>46105</v>
      </c>
      <c r="P159" s="6" t="s">
        <v>370</v>
      </c>
    </row>
    <row r="160" spans="1:16" ht="62" x14ac:dyDescent="0.35">
      <c r="A160" s="29" t="s">
        <v>360</v>
      </c>
      <c r="B160" s="14" t="s">
        <v>164</v>
      </c>
      <c r="C160" s="25" t="s">
        <v>116</v>
      </c>
      <c r="D160" s="25" t="s">
        <v>115</v>
      </c>
      <c r="E160" s="25" t="s">
        <v>344</v>
      </c>
      <c r="F160" s="6" t="s">
        <v>399</v>
      </c>
      <c r="G160" s="22">
        <v>18903.540000000005</v>
      </c>
      <c r="H160" s="15">
        <v>46063</v>
      </c>
      <c r="I160" s="15">
        <v>46106</v>
      </c>
      <c r="J160" s="6" t="s">
        <v>345</v>
      </c>
      <c r="K160" s="25" t="s">
        <v>110</v>
      </c>
      <c r="L160" s="6" t="s">
        <v>347</v>
      </c>
      <c r="M160" s="15">
        <f>Таблица1[[#This Row],[Дата окончания ]]-7</f>
        <v>46099</v>
      </c>
      <c r="N160" s="18">
        <f>Таблица1[[#This Row],[Дата окончания ]]-5</f>
        <v>46101</v>
      </c>
      <c r="O160" s="15">
        <f>Таблица1[[#This Row],[Дата окончания ]]-1</f>
        <v>46105</v>
      </c>
      <c r="P160" s="6" t="s">
        <v>371</v>
      </c>
    </row>
    <row r="161" spans="1:16" ht="31" x14ac:dyDescent="0.35">
      <c r="A161" s="16" t="s">
        <v>167</v>
      </c>
      <c r="B161" s="14" t="s">
        <v>372</v>
      </c>
      <c r="C161" s="16" t="s">
        <v>96</v>
      </c>
      <c r="D161" s="16" t="s">
        <v>97</v>
      </c>
      <c r="E161" s="16" t="s">
        <v>168</v>
      </c>
      <c r="F161" s="16" t="s">
        <v>169</v>
      </c>
      <c r="G161" s="22">
        <v>9999.2000000000007</v>
      </c>
      <c r="H161" s="18">
        <v>46028</v>
      </c>
      <c r="I161" s="15">
        <v>46107</v>
      </c>
      <c r="J161" s="16" t="s">
        <v>172</v>
      </c>
      <c r="K161" s="16" t="s">
        <v>170</v>
      </c>
      <c r="L161" s="16" t="s">
        <v>102</v>
      </c>
      <c r="M161" s="15">
        <f>Таблица1[[#This Row],[Дата окончания ]]-7</f>
        <v>46100</v>
      </c>
      <c r="N161" s="18">
        <f>Таблица1[[#This Row],[Дата окончания ]]-5</f>
        <v>46102</v>
      </c>
      <c r="O161" s="15">
        <f>Таблица1[[#This Row],[Дата окончания ]]-1</f>
        <v>46106</v>
      </c>
      <c r="P161" s="6" t="s">
        <v>373</v>
      </c>
    </row>
    <row r="162" spans="1:16" ht="62" x14ac:dyDescent="0.35">
      <c r="A162" s="29" t="s">
        <v>158</v>
      </c>
      <c r="B162" s="23" t="s">
        <v>228</v>
      </c>
      <c r="C162" s="25" t="s">
        <v>116</v>
      </c>
      <c r="D162" s="25" t="s">
        <v>115</v>
      </c>
      <c r="E162" s="25" t="s">
        <v>139</v>
      </c>
      <c r="F162" s="25" t="s">
        <v>118</v>
      </c>
      <c r="G162" s="22">
        <v>3871.6</v>
      </c>
      <c r="H162" s="28">
        <v>45994</v>
      </c>
      <c r="I162" s="18">
        <v>46107</v>
      </c>
      <c r="J162" s="25" t="s">
        <v>117</v>
      </c>
      <c r="K162" s="25" t="s">
        <v>110</v>
      </c>
      <c r="L162" s="25" t="s">
        <v>153</v>
      </c>
      <c r="M162" s="15">
        <f>Таблица1[[#This Row],[Дата окончания ]]-7</f>
        <v>46100</v>
      </c>
      <c r="N162" s="18">
        <f>Таблица1[[#This Row],[Дата окончания ]]-5</f>
        <v>46102</v>
      </c>
      <c r="O162" s="15">
        <f>Таблица1[[#This Row],[Дата окончания ]]-1</f>
        <v>46106</v>
      </c>
      <c r="P162" s="6" t="s">
        <v>374</v>
      </c>
    </row>
    <row r="163" spans="1:16" ht="62" x14ac:dyDescent="0.35">
      <c r="A163" s="29" t="s">
        <v>360</v>
      </c>
      <c r="B163" s="14" t="s">
        <v>166</v>
      </c>
      <c r="C163" s="25" t="s">
        <v>116</v>
      </c>
      <c r="D163" s="25" t="s">
        <v>115</v>
      </c>
      <c r="E163" s="25" t="s">
        <v>344</v>
      </c>
      <c r="F163" s="6" t="s">
        <v>399</v>
      </c>
      <c r="G163" s="22">
        <v>13144.74</v>
      </c>
      <c r="H163" s="15">
        <v>46063</v>
      </c>
      <c r="I163" s="15">
        <v>46107</v>
      </c>
      <c r="J163" s="6" t="s">
        <v>345</v>
      </c>
      <c r="K163" s="25" t="s">
        <v>110</v>
      </c>
      <c r="L163" s="6" t="s">
        <v>347</v>
      </c>
      <c r="M163" s="15">
        <f>Таблица1[[#This Row],[Дата окончания ]]-7</f>
        <v>46100</v>
      </c>
      <c r="N163" s="18">
        <f>Таблица1[[#This Row],[Дата окончания ]]-5</f>
        <v>46102</v>
      </c>
      <c r="O163" s="15">
        <f>Таблица1[[#This Row],[Дата окончания ]]-1</f>
        <v>46106</v>
      </c>
      <c r="P163" s="6" t="s">
        <v>375</v>
      </c>
    </row>
    <row r="164" spans="1:16" ht="31" x14ac:dyDescent="0.35">
      <c r="A164" s="16" t="s">
        <v>167</v>
      </c>
      <c r="B164" s="14" t="s">
        <v>376</v>
      </c>
      <c r="C164" s="16" t="s">
        <v>96</v>
      </c>
      <c r="D164" s="16" t="s">
        <v>97</v>
      </c>
      <c r="E164" s="16" t="s">
        <v>168</v>
      </c>
      <c r="F164" s="16" t="s">
        <v>169</v>
      </c>
      <c r="G164" s="22">
        <v>9805.7999999999993</v>
      </c>
      <c r="H164" s="18">
        <v>46028</v>
      </c>
      <c r="I164" s="15">
        <v>46107</v>
      </c>
      <c r="J164" s="16" t="s">
        <v>172</v>
      </c>
      <c r="K164" s="16" t="s">
        <v>170</v>
      </c>
      <c r="L164" s="16" t="s">
        <v>102</v>
      </c>
      <c r="M164" s="15">
        <f>Таблица1[[#This Row],[Дата окончания ]]-7</f>
        <v>46100</v>
      </c>
      <c r="N164" s="18">
        <f>Таблица1[[#This Row],[Дата окончания ]]-5</f>
        <v>46102</v>
      </c>
      <c r="O164" s="15">
        <f>Таблица1[[#This Row],[Дата окончания ]]-1</f>
        <v>46106</v>
      </c>
      <c r="P164" s="6" t="s">
        <v>377</v>
      </c>
    </row>
    <row r="165" spans="1:16" ht="31" x14ac:dyDescent="0.35">
      <c r="A165" s="16" t="s">
        <v>167</v>
      </c>
      <c r="B165" s="14" t="s">
        <v>378</v>
      </c>
      <c r="C165" s="16" t="s">
        <v>96</v>
      </c>
      <c r="D165" s="16" t="s">
        <v>97</v>
      </c>
      <c r="E165" s="16" t="s">
        <v>168</v>
      </c>
      <c r="F165" s="16" t="s">
        <v>169</v>
      </c>
      <c r="G165" s="22">
        <v>10547.6</v>
      </c>
      <c r="H165" s="18">
        <v>46028</v>
      </c>
      <c r="I165" s="15">
        <v>46107</v>
      </c>
      <c r="J165" s="16" t="s">
        <v>172</v>
      </c>
      <c r="K165" s="16" t="s">
        <v>170</v>
      </c>
      <c r="L165" s="16" t="s">
        <v>102</v>
      </c>
      <c r="M165" s="15">
        <f>Таблица1[[#This Row],[Дата окончания ]]-7</f>
        <v>46100</v>
      </c>
      <c r="N165" s="18">
        <f>Таблица1[[#This Row],[Дата окончания ]]-5</f>
        <v>46102</v>
      </c>
      <c r="O165" s="15">
        <f>Таблица1[[#This Row],[Дата окончания ]]-1</f>
        <v>46106</v>
      </c>
      <c r="P165" s="6" t="s">
        <v>379</v>
      </c>
    </row>
    <row r="166" spans="1:16" ht="46.5" x14ac:dyDescent="0.35">
      <c r="A166" s="6" t="s">
        <v>380</v>
      </c>
      <c r="B166" s="14" t="s">
        <v>388</v>
      </c>
      <c r="C166" s="6" t="s">
        <v>382</v>
      </c>
      <c r="D166" s="6" t="s">
        <v>294</v>
      </c>
      <c r="E166" s="6" t="s">
        <v>383</v>
      </c>
      <c r="F166" s="6" t="s">
        <v>384</v>
      </c>
      <c r="G166" s="22">
        <v>18392.46</v>
      </c>
      <c r="H166" s="15">
        <v>46094</v>
      </c>
      <c r="I166" s="15">
        <v>46108</v>
      </c>
      <c r="J166" s="6" t="s">
        <v>386</v>
      </c>
      <c r="K166" s="6" t="s">
        <v>110</v>
      </c>
      <c r="L166" s="6" t="s">
        <v>385</v>
      </c>
      <c r="M166" s="15">
        <f>Таблица1[[#This Row],[Дата окончания ]]-7</f>
        <v>46101</v>
      </c>
      <c r="N166" s="18">
        <f>Таблица1[[#This Row],[Дата окончания ]]-5</f>
        <v>46103</v>
      </c>
      <c r="O166" s="15">
        <f>Таблица1[[#This Row],[Дата окончания ]]-1</f>
        <v>46107</v>
      </c>
      <c r="P166" s="6"/>
    </row>
    <row r="167" spans="1:16" ht="62" x14ac:dyDescent="0.35">
      <c r="A167" s="29" t="s">
        <v>360</v>
      </c>
      <c r="B167" s="14" t="s">
        <v>142</v>
      </c>
      <c r="C167" s="25" t="s">
        <v>116</v>
      </c>
      <c r="D167" s="25" t="s">
        <v>115</v>
      </c>
      <c r="E167" s="25" t="s">
        <v>344</v>
      </c>
      <c r="F167" s="6" t="s">
        <v>399</v>
      </c>
      <c r="G167" s="22">
        <v>21617.260000000002</v>
      </c>
      <c r="H167" s="15">
        <v>46063</v>
      </c>
      <c r="I167" s="15">
        <v>46108</v>
      </c>
      <c r="J167" s="6" t="s">
        <v>345</v>
      </c>
      <c r="K167" s="25" t="s">
        <v>110</v>
      </c>
      <c r="L167" s="6" t="s">
        <v>347</v>
      </c>
      <c r="M167" s="15">
        <f>Таблица1[[#This Row],[Дата окончания ]]-7</f>
        <v>46101</v>
      </c>
      <c r="N167" s="18">
        <f>Таблица1[[#This Row],[Дата окончания ]]-5</f>
        <v>46103</v>
      </c>
      <c r="O167" s="15">
        <f>Таблица1[[#This Row],[Дата окончания ]]-1</f>
        <v>46107</v>
      </c>
      <c r="P167" s="6" t="s">
        <v>389</v>
      </c>
    </row>
    <row r="168" spans="1:16" ht="46.5" x14ac:dyDescent="0.35">
      <c r="A168" s="6" t="s">
        <v>380</v>
      </c>
      <c r="B168" s="14" t="s">
        <v>390</v>
      </c>
      <c r="C168" s="6" t="s">
        <v>382</v>
      </c>
      <c r="D168" s="6" t="s">
        <v>294</v>
      </c>
      <c r="E168" s="6" t="s">
        <v>383</v>
      </c>
      <c r="F168" s="6" t="s">
        <v>384</v>
      </c>
      <c r="G168" s="22">
        <v>19847.469999999998</v>
      </c>
      <c r="H168" s="15">
        <v>46094</v>
      </c>
      <c r="I168" s="15">
        <v>46108</v>
      </c>
      <c r="J168" s="6" t="s">
        <v>386</v>
      </c>
      <c r="K168" s="6" t="s">
        <v>110</v>
      </c>
      <c r="L168" s="6" t="s">
        <v>385</v>
      </c>
      <c r="M168" s="15">
        <f>Таблица1[[#This Row],[Дата окончания ]]-7</f>
        <v>46101</v>
      </c>
      <c r="N168" s="18">
        <f>Таблица1[[#This Row],[Дата окончания ]]-5</f>
        <v>46103</v>
      </c>
      <c r="O168" s="15">
        <f>Таблица1[[#This Row],[Дата окончания ]]-1</f>
        <v>46107</v>
      </c>
      <c r="P168" s="6" t="s">
        <v>391</v>
      </c>
    </row>
    <row r="169" spans="1:16" ht="31" x14ac:dyDescent="0.35">
      <c r="A169" s="16" t="s">
        <v>167</v>
      </c>
      <c r="B169" s="14" t="s">
        <v>392</v>
      </c>
      <c r="C169" s="16" t="s">
        <v>96</v>
      </c>
      <c r="D169" s="16" t="s">
        <v>97</v>
      </c>
      <c r="E169" s="16" t="s">
        <v>168</v>
      </c>
      <c r="F169" s="16" t="s">
        <v>169</v>
      </c>
      <c r="G169" s="22">
        <v>9783.4</v>
      </c>
      <c r="H169" s="18">
        <v>46028</v>
      </c>
      <c r="I169" s="15">
        <v>46111</v>
      </c>
      <c r="J169" s="16" t="s">
        <v>172</v>
      </c>
      <c r="K169" s="16" t="s">
        <v>170</v>
      </c>
      <c r="L169" s="16" t="s">
        <v>102</v>
      </c>
      <c r="M169" s="15">
        <f>Таблица1[[#This Row],[Дата окончания ]]-7</f>
        <v>46104</v>
      </c>
      <c r="N169" s="18">
        <f>Таблица1[[#This Row],[Дата окончания ]]-5</f>
        <v>46106</v>
      </c>
      <c r="O169" s="15">
        <f>Таблица1[[#This Row],[Дата окончания ]]-1</f>
        <v>46110</v>
      </c>
      <c r="P169" s="6" t="s">
        <v>393</v>
      </c>
    </row>
    <row r="170" spans="1:16" ht="31" x14ac:dyDescent="0.35">
      <c r="A170" s="16" t="s">
        <v>167</v>
      </c>
      <c r="B170" s="14" t="s">
        <v>394</v>
      </c>
      <c r="C170" s="16" t="s">
        <v>96</v>
      </c>
      <c r="D170" s="16" t="s">
        <v>97</v>
      </c>
      <c r="E170" s="16" t="s">
        <v>168</v>
      </c>
      <c r="F170" s="16" t="s">
        <v>169</v>
      </c>
      <c r="G170" s="22">
        <v>10160.4</v>
      </c>
      <c r="H170" s="18">
        <v>46028</v>
      </c>
      <c r="I170" s="15">
        <v>46111</v>
      </c>
      <c r="J170" s="16" t="s">
        <v>172</v>
      </c>
      <c r="K170" s="16" t="s">
        <v>170</v>
      </c>
      <c r="L170" s="16" t="s">
        <v>102</v>
      </c>
      <c r="M170" s="15">
        <f>Таблица1[[#This Row],[Дата окончания ]]-7</f>
        <v>46104</v>
      </c>
      <c r="N170" s="18">
        <f>Таблица1[[#This Row],[Дата окончания ]]-5</f>
        <v>46106</v>
      </c>
      <c r="O170" s="15">
        <f>Таблица1[[#This Row],[Дата окончания ]]-1</f>
        <v>46110</v>
      </c>
      <c r="P170" s="6" t="s">
        <v>379</v>
      </c>
    </row>
    <row r="171" spans="1:16" ht="62" x14ac:dyDescent="0.35">
      <c r="A171" s="29" t="s">
        <v>360</v>
      </c>
      <c r="B171" s="14" t="s">
        <v>152</v>
      </c>
      <c r="C171" s="6" t="s">
        <v>116</v>
      </c>
      <c r="D171" s="6" t="s">
        <v>115</v>
      </c>
      <c r="E171" s="6" t="s">
        <v>344</v>
      </c>
      <c r="F171" s="6" t="s">
        <v>399</v>
      </c>
      <c r="G171" s="22">
        <v>18471.560000000001</v>
      </c>
      <c r="H171" s="15">
        <v>46063</v>
      </c>
      <c r="I171" s="15">
        <v>46111</v>
      </c>
      <c r="J171" s="6" t="s">
        <v>345</v>
      </c>
      <c r="K171" s="25" t="s">
        <v>110</v>
      </c>
      <c r="L171" s="6" t="s">
        <v>347</v>
      </c>
      <c r="M171" s="15">
        <f>Таблица1[[#This Row],[Дата окончания ]]-7</f>
        <v>46104</v>
      </c>
      <c r="N171" s="18">
        <f>Таблица1[[#This Row],[Дата окончания ]]-5</f>
        <v>46106</v>
      </c>
      <c r="O171" s="15">
        <f>Таблица1[[#This Row],[Дата окончания ]]-1</f>
        <v>46110</v>
      </c>
      <c r="P171" s="6"/>
    </row>
    <row r="172" spans="1:16" ht="62" x14ac:dyDescent="0.35">
      <c r="A172" s="29" t="s">
        <v>360</v>
      </c>
      <c r="B172" s="14" t="s">
        <v>160</v>
      </c>
      <c r="C172" s="6" t="s">
        <v>116</v>
      </c>
      <c r="D172" s="6" t="s">
        <v>115</v>
      </c>
      <c r="E172" s="6" t="s">
        <v>344</v>
      </c>
      <c r="F172" s="6" t="s">
        <v>399</v>
      </c>
      <c r="G172" s="22">
        <v>17231.759999999998</v>
      </c>
      <c r="H172" s="15">
        <v>46063</v>
      </c>
      <c r="I172" s="15">
        <v>46112</v>
      </c>
      <c r="J172" s="6" t="s">
        <v>345</v>
      </c>
      <c r="K172" s="25" t="s">
        <v>110</v>
      </c>
      <c r="L172" s="6" t="s">
        <v>347</v>
      </c>
      <c r="M172" s="15">
        <f>Таблица1[[#This Row],[Дата окончания ]]-7</f>
        <v>46105</v>
      </c>
      <c r="N172" s="18">
        <f>Таблица1[[#This Row],[Дата окончания ]]-5</f>
        <v>46107</v>
      </c>
      <c r="O172" s="15">
        <f>Таблица1[[#This Row],[Дата окончания ]]-1</f>
        <v>46111</v>
      </c>
      <c r="P172" s="6" t="s">
        <v>375</v>
      </c>
    </row>
    <row r="173" spans="1:16" ht="31" x14ac:dyDescent="0.35">
      <c r="A173" s="16" t="s">
        <v>167</v>
      </c>
      <c r="B173" s="14" t="s">
        <v>395</v>
      </c>
      <c r="C173" s="16" t="s">
        <v>96</v>
      </c>
      <c r="D173" s="16" t="s">
        <v>97</v>
      </c>
      <c r="E173" s="16" t="s">
        <v>168</v>
      </c>
      <c r="F173" s="16" t="s">
        <v>169</v>
      </c>
      <c r="G173" s="22">
        <v>10250.5</v>
      </c>
      <c r="H173" s="18">
        <v>46028</v>
      </c>
      <c r="I173" s="15">
        <v>46112</v>
      </c>
      <c r="J173" s="16" t="s">
        <v>172</v>
      </c>
      <c r="K173" s="16" t="s">
        <v>170</v>
      </c>
      <c r="L173" s="16" t="s">
        <v>102</v>
      </c>
      <c r="M173" s="15">
        <f>Таблица1[[#This Row],[Дата окончания ]]-7</f>
        <v>46105</v>
      </c>
      <c r="N173" s="18">
        <f>Таблица1[[#This Row],[Дата окончания ]]-5</f>
        <v>46107</v>
      </c>
      <c r="O173" s="15">
        <f>Таблица1[[#This Row],[Дата окончания ]]-1</f>
        <v>46111</v>
      </c>
      <c r="P173" s="6" t="s">
        <v>396</v>
      </c>
    </row>
    <row r="174" spans="1:16" ht="46.5" x14ac:dyDescent="0.35">
      <c r="A174" s="6" t="s">
        <v>380</v>
      </c>
      <c r="B174" s="14" t="s">
        <v>397</v>
      </c>
      <c r="C174" s="6" t="s">
        <v>382</v>
      </c>
      <c r="D174" s="6" t="s">
        <v>294</v>
      </c>
      <c r="E174" s="6" t="s">
        <v>383</v>
      </c>
      <c r="F174" s="6" t="s">
        <v>384</v>
      </c>
      <c r="G174" s="22">
        <v>12671.94</v>
      </c>
      <c r="H174" s="15">
        <v>46094</v>
      </c>
      <c r="I174" s="15">
        <v>46112</v>
      </c>
      <c r="J174" s="6" t="s">
        <v>386</v>
      </c>
      <c r="K174" s="6" t="s">
        <v>110</v>
      </c>
      <c r="L174" s="6" t="s">
        <v>385</v>
      </c>
      <c r="M174" s="15">
        <f>Таблица1[[#This Row],[Дата окончания ]]-7</f>
        <v>46105</v>
      </c>
      <c r="N174" s="18">
        <f>Таблица1[[#This Row],[Дата окончания ]]-5</f>
        <v>46107</v>
      </c>
      <c r="O174" s="15">
        <f>Таблица1[[#This Row],[Дата окончания ]]-1</f>
        <v>46111</v>
      </c>
      <c r="P174" s="6" t="s">
        <v>398</v>
      </c>
    </row>
    <row r="175" spans="1:16" ht="62" x14ac:dyDescent="0.35">
      <c r="A175" s="29" t="s">
        <v>360</v>
      </c>
      <c r="B175" s="14" t="s">
        <v>161</v>
      </c>
      <c r="C175" s="6" t="s">
        <v>116</v>
      </c>
      <c r="D175" s="6" t="s">
        <v>115</v>
      </c>
      <c r="E175" s="6" t="s">
        <v>344</v>
      </c>
      <c r="F175" s="6" t="s">
        <v>399</v>
      </c>
      <c r="G175" s="22">
        <v>10552.93</v>
      </c>
      <c r="H175" s="15">
        <v>46063</v>
      </c>
      <c r="I175" s="15">
        <v>46112</v>
      </c>
      <c r="J175" s="6" t="s">
        <v>345</v>
      </c>
      <c r="K175" s="25" t="s">
        <v>110</v>
      </c>
      <c r="L175" s="6" t="s">
        <v>347</v>
      </c>
      <c r="M175" s="15">
        <f>Таблица1[[#This Row],[Дата окончания ]]-7</f>
        <v>46105</v>
      </c>
      <c r="N175" s="18">
        <f>Таблица1[[#This Row],[Дата окончания ]]-5</f>
        <v>46107</v>
      </c>
      <c r="O175" s="15">
        <f>Таблица1[[#This Row],[Дата окончания ]]-1</f>
        <v>46111</v>
      </c>
      <c r="P175" s="6" t="s">
        <v>342</v>
      </c>
    </row>
    <row r="176" spans="1:16" ht="31" x14ac:dyDescent="0.35">
      <c r="A176" s="31" t="s">
        <v>167</v>
      </c>
      <c r="B176" s="14" t="s">
        <v>400</v>
      </c>
      <c r="C176" s="6" t="s">
        <v>96</v>
      </c>
      <c r="D176" s="6" t="s">
        <v>97</v>
      </c>
      <c r="E176" s="6" t="s">
        <v>168</v>
      </c>
      <c r="F176" s="6" t="s">
        <v>169</v>
      </c>
      <c r="G176" s="22">
        <v>10044.5</v>
      </c>
      <c r="H176" s="18">
        <v>46028</v>
      </c>
      <c r="I176" s="15">
        <v>46112</v>
      </c>
      <c r="J176" s="6" t="s">
        <v>172</v>
      </c>
      <c r="K176" s="6" t="s">
        <v>170</v>
      </c>
      <c r="L176" s="6" t="s">
        <v>102</v>
      </c>
      <c r="M176" s="15">
        <f>Таблица1[[#This Row],[Дата окончания ]]-7</f>
        <v>46105</v>
      </c>
      <c r="N176" s="18">
        <f>Таблица1[[#This Row],[Дата окончания ]]-5</f>
        <v>46107</v>
      </c>
      <c r="O176" s="15">
        <f>Таблица1[[#This Row],[Дата окончания ]]-1</f>
        <v>46111</v>
      </c>
      <c r="P176" s="6" t="s">
        <v>401</v>
      </c>
    </row>
    <row r="177" spans="1:16" ht="31" x14ac:dyDescent="0.35">
      <c r="A177" s="31" t="s">
        <v>167</v>
      </c>
      <c r="B177" s="14" t="s">
        <v>402</v>
      </c>
      <c r="C177" s="6" t="s">
        <v>96</v>
      </c>
      <c r="D177" s="6" t="s">
        <v>97</v>
      </c>
      <c r="E177" s="6" t="s">
        <v>168</v>
      </c>
      <c r="F177" s="6" t="s">
        <v>169</v>
      </c>
      <c r="G177" s="22">
        <v>9762.9</v>
      </c>
      <c r="H177" s="18">
        <v>46028</v>
      </c>
      <c r="I177" s="15">
        <v>46112</v>
      </c>
      <c r="J177" s="6" t="s">
        <v>172</v>
      </c>
      <c r="K177" s="6" t="s">
        <v>170</v>
      </c>
      <c r="L177" s="6" t="s">
        <v>102</v>
      </c>
      <c r="M177" s="15">
        <f>Таблица1[[#This Row],[Дата окончания ]]-7</f>
        <v>46105</v>
      </c>
      <c r="N177" s="18">
        <f>Таблица1[[#This Row],[Дата окончания ]]-5</f>
        <v>46107</v>
      </c>
      <c r="O177" s="15">
        <f>Таблица1[[#This Row],[Дата окончания ]]-1</f>
        <v>46111</v>
      </c>
      <c r="P177" s="6" t="s">
        <v>403</v>
      </c>
    </row>
    <row r="178" spans="1:16" ht="31" x14ac:dyDescent="0.35">
      <c r="A178" s="31" t="s">
        <v>167</v>
      </c>
      <c r="B178" s="14" t="s">
        <v>406</v>
      </c>
      <c r="C178" s="6" t="s">
        <v>96</v>
      </c>
      <c r="D178" s="6" t="s">
        <v>97</v>
      </c>
      <c r="E178" s="6" t="s">
        <v>168</v>
      </c>
      <c r="F178" s="6" t="s">
        <v>169</v>
      </c>
      <c r="G178" s="22">
        <v>10246.9</v>
      </c>
      <c r="H178" s="18">
        <v>46028</v>
      </c>
      <c r="I178" s="15">
        <v>46113</v>
      </c>
      <c r="J178" s="6" t="s">
        <v>172</v>
      </c>
      <c r="K178" s="6" t="s">
        <v>170</v>
      </c>
      <c r="L178" s="6" t="s">
        <v>102</v>
      </c>
      <c r="M178" s="15">
        <f>Таблица1[[#This Row],[Дата окончания ]]-7</f>
        <v>46106</v>
      </c>
      <c r="N178" s="18">
        <f>Таблица1[[#This Row],[Дата окончания ]]-5</f>
        <v>46108</v>
      </c>
      <c r="O178" s="15">
        <f>Таблица1[[#This Row],[Дата окончания ]]-1</f>
        <v>46112</v>
      </c>
      <c r="P178" s="6" t="s">
        <v>407</v>
      </c>
    </row>
    <row r="179" spans="1:16" ht="31" x14ac:dyDescent="0.35">
      <c r="A179" s="31" t="s">
        <v>167</v>
      </c>
      <c r="B179" s="14" t="s">
        <v>408</v>
      </c>
      <c r="C179" s="6" t="s">
        <v>96</v>
      </c>
      <c r="D179" s="6" t="s">
        <v>97</v>
      </c>
      <c r="E179" s="6" t="s">
        <v>168</v>
      </c>
      <c r="F179" s="6" t="s">
        <v>169</v>
      </c>
      <c r="G179" s="22">
        <v>10246.9</v>
      </c>
      <c r="H179" s="18">
        <v>46028</v>
      </c>
      <c r="I179" s="15">
        <v>46114</v>
      </c>
      <c r="J179" s="6" t="s">
        <v>172</v>
      </c>
      <c r="K179" s="6" t="s">
        <v>170</v>
      </c>
      <c r="L179" s="6" t="s">
        <v>102</v>
      </c>
      <c r="M179" s="15">
        <f>Таблица1[[#This Row],[Дата окончания ]]-7</f>
        <v>46107</v>
      </c>
      <c r="N179" s="18">
        <f>Таблица1[[#This Row],[Дата окончания ]]-5</f>
        <v>46109</v>
      </c>
      <c r="O179" s="15">
        <f>Таблица1[[#This Row],[Дата окончания ]]-1</f>
        <v>46113</v>
      </c>
      <c r="P179" s="6" t="s">
        <v>407</v>
      </c>
    </row>
    <row r="180" spans="1:16" ht="46.5" x14ac:dyDescent="0.35">
      <c r="A180" s="6" t="s">
        <v>380</v>
      </c>
      <c r="B180" s="14" t="s">
        <v>409</v>
      </c>
      <c r="C180" s="6" t="s">
        <v>382</v>
      </c>
      <c r="D180" s="6" t="s">
        <v>294</v>
      </c>
      <c r="E180" s="6" t="s">
        <v>383</v>
      </c>
      <c r="F180" s="6" t="s">
        <v>384</v>
      </c>
      <c r="G180" s="22">
        <v>12618.1</v>
      </c>
      <c r="H180" s="15">
        <v>46094</v>
      </c>
      <c r="I180" s="15">
        <v>46114</v>
      </c>
      <c r="J180" s="6" t="s">
        <v>386</v>
      </c>
      <c r="K180" s="6" t="s">
        <v>110</v>
      </c>
      <c r="L180" s="6" t="s">
        <v>385</v>
      </c>
      <c r="M180" s="15">
        <f>Таблица1[[#This Row],[Дата окончания ]]-7</f>
        <v>46107</v>
      </c>
      <c r="N180" s="18">
        <f>Таблица1[[#This Row],[Дата окончания ]]-5</f>
        <v>46109</v>
      </c>
      <c r="O180" s="15">
        <f>Таблица1[[#This Row],[Дата окончания ]]-1</f>
        <v>46113</v>
      </c>
      <c r="P180" s="6" t="s">
        <v>398</v>
      </c>
    </row>
    <row r="181" spans="1:16" ht="62" x14ac:dyDescent="0.35">
      <c r="A181" s="31" t="s">
        <v>167</v>
      </c>
      <c r="B181" s="14" t="s">
        <v>410</v>
      </c>
      <c r="C181" s="6" t="s">
        <v>96</v>
      </c>
      <c r="D181" s="6" t="s">
        <v>97</v>
      </c>
      <c r="E181" s="6" t="s">
        <v>168</v>
      </c>
      <c r="F181" s="6" t="s">
        <v>169</v>
      </c>
      <c r="G181" s="22">
        <v>10127.700000000001</v>
      </c>
      <c r="H181" s="18">
        <v>46028</v>
      </c>
      <c r="I181" s="15">
        <v>46114</v>
      </c>
      <c r="J181" s="6" t="s">
        <v>172</v>
      </c>
      <c r="K181" s="6" t="s">
        <v>170</v>
      </c>
      <c r="L181" s="6" t="s">
        <v>102</v>
      </c>
      <c r="M181" s="15">
        <f>Таблица1[[#This Row],[Дата окончания ]]-7</f>
        <v>46107</v>
      </c>
      <c r="N181" s="18">
        <f>Таблица1[[#This Row],[Дата окончания ]]-5</f>
        <v>46109</v>
      </c>
      <c r="O181" s="15">
        <f>Таблица1[[#This Row],[Дата окончания ]]-1</f>
        <v>46113</v>
      </c>
      <c r="P181" s="6" t="s">
        <v>411</v>
      </c>
    </row>
    <row r="182" spans="1:16" ht="31" x14ac:dyDescent="0.35">
      <c r="A182" s="31" t="s">
        <v>167</v>
      </c>
      <c r="B182" s="14" t="s">
        <v>412</v>
      </c>
      <c r="C182" s="6" t="s">
        <v>96</v>
      </c>
      <c r="D182" s="6" t="s">
        <v>97</v>
      </c>
      <c r="E182" s="6" t="s">
        <v>168</v>
      </c>
      <c r="F182" s="6" t="s">
        <v>169</v>
      </c>
      <c r="G182" s="22">
        <v>9894.1</v>
      </c>
      <c r="H182" s="18">
        <v>46028</v>
      </c>
      <c r="I182" s="15">
        <v>46115</v>
      </c>
      <c r="J182" s="6" t="s">
        <v>172</v>
      </c>
      <c r="K182" s="6" t="s">
        <v>170</v>
      </c>
      <c r="L182" s="6" t="s">
        <v>102</v>
      </c>
      <c r="M182" s="15">
        <f>Таблица1[[#This Row],[Дата окончания ]]-7</f>
        <v>46108</v>
      </c>
      <c r="N182" s="18">
        <f>Таблица1[[#This Row],[Дата окончания ]]-5</f>
        <v>46110</v>
      </c>
      <c r="O182" s="15">
        <f>Таблица1[[#This Row],[Дата окончания ]]-1</f>
        <v>46114</v>
      </c>
      <c r="P182" s="6" t="s">
        <v>413</v>
      </c>
    </row>
    <row r="183" spans="1:16" ht="46.5" x14ac:dyDescent="0.35">
      <c r="A183" s="6" t="s">
        <v>380</v>
      </c>
      <c r="B183" s="14" t="s">
        <v>414</v>
      </c>
      <c r="C183" s="6" t="s">
        <v>382</v>
      </c>
      <c r="D183" s="6" t="s">
        <v>294</v>
      </c>
      <c r="E183" s="6" t="s">
        <v>383</v>
      </c>
      <c r="F183" s="6" t="s">
        <v>384</v>
      </c>
      <c r="G183" s="22">
        <v>12273.06</v>
      </c>
      <c r="H183" s="15">
        <v>46094</v>
      </c>
      <c r="I183" s="15">
        <v>46115</v>
      </c>
      <c r="J183" s="6" t="s">
        <v>386</v>
      </c>
      <c r="K183" s="6" t="s">
        <v>110</v>
      </c>
      <c r="L183" s="6" t="s">
        <v>385</v>
      </c>
      <c r="M183" s="15">
        <f>Таблица1[[#This Row],[Дата окончания ]]-7</f>
        <v>46108</v>
      </c>
      <c r="N183" s="18">
        <f>Таблица1[[#This Row],[Дата окончания ]]-5</f>
        <v>46110</v>
      </c>
      <c r="O183" s="15">
        <f>Таблица1[[#This Row],[Дата окончания ]]-1</f>
        <v>46114</v>
      </c>
      <c r="P183" s="6" t="s">
        <v>415</v>
      </c>
    </row>
    <row r="184" spans="1:16" ht="62" x14ac:dyDescent="0.35">
      <c r="A184" s="29" t="s">
        <v>360</v>
      </c>
      <c r="B184" s="14" t="s">
        <v>216</v>
      </c>
      <c r="C184" s="6" t="s">
        <v>116</v>
      </c>
      <c r="D184" s="6" t="s">
        <v>115</v>
      </c>
      <c r="E184" s="6" t="s">
        <v>344</v>
      </c>
      <c r="F184" s="6" t="s">
        <v>399</v>
      </c>
      <c r="G184" s="22">
        <v>9546.4999999999982</v>
      </c>
      <c r="H184" s="15">
        <v>46063</v>
      </c>
      <c r="I184" s="15">
        <v>46115</v>
      </c>
      <c r="J184" s="6" t="s">
        <v>345</v>
      </c>
      <c r="K184" s="25" t="s">
        <v>110</v>
      </c>
      <c r="L184" s="6" t="s">
        <v>347</v>
      </c>
      <c r="M184" s="15">
        <f>Таблица1[[#This Row],[Дата окончания ]]-7</f>
        <v>46108</v>
      </c>
      <c r="N184" s="18">
        <f>Таблица1[[#This Row],[Дата окончания ]]-5</f>
        <v>46110</v>
      </c>
      <c r="O184" s="15">
        <f>Таблица1[[#This Row],[Дата окончания ]]-1</f>
        <v>46114</v>
      </c>
      <c r="P184" s="6" t="s">
        <v>416</v>
      </c>
    </row>
    <row r="185" spans="1:16" ht="46.5" x14ac:dyDescent="0.35">
      <c r="A185" s="6" t="s">
        <v>380</v>
      </c>
      <c r="B185" s="14" t="s">
        <v>417</v>
      </c>
      <c r="C185" s="6" t="s">
        <v>382</v>
      </c>
      <c r="D185" s="6" t="s">
        <v>294</v>
      </c>
      <c r="E185" s="6" t="s">
        <v>383</v>
      </c>
      <c r="F185" s="6" t="s">
        <v>384</v>
      </c>
      <c r="G185" s="22">
        <v>12107.48</v>
      </c>
      <c r="H185" s="15">
        <v>46094</v>
      </c>
      <c r="I185" s="15">
        <v>46116</v>
      </c>
      <c r="J185" s="6" t="s">
        <v>386</v>
      </c>
      <c r="K185" s="6" t="s">
        <v>110</v>
      </c>
      <c r="L185" s="6" t="s">
        <v>385</v>
      </c>
      <c r="M185" s="15">
        <f>Таблица1[[#This Row],[Дата окончания ]]-7</f>
        <v>46109</v>
      </c>
      <c r="N185" s="18">
        <f>Таблица1[[#This Row],[Дата окончания ]]-5</f>
        <v>46111</v>
      </c>
      <c r="O185" s="15">
        <f>Таблица1[[#This Row],[Дата окончания ]]-1</f>
        <v>46115</v>
      </c>
      <c r="P185" s="6" t="s">
        <v>418</v>
      </c>
    </row>
    <row r="186" spans="1:16" ht="46.5" x14ac:dyDescent="0.35">
      <c r="A186" s="6" t="s">
        <v>380</v>
      </c>
      <c r="B186" s="14" t="s">
        <v>419</v>
      </c>
      <c r="C186" s="6" t="s">
        <v>382</v>
      </c>
      <c r="D186" s="6" t="s">
        <v>294</v>
      </c>
      <c r="E186" s="6" t="s">
        <v>383</v>
      </c>
      <c r="F186" s="6" t="s">
        <v>384</v>
      </c>
      <c r="G186" s="22">
        <v>12124.14</v>
      </c>
      <c r="H186" s="15">
        <v>46094</v>
      </c>
      <c r="I186" s="15">
        <v>46118</v>
      </c>
      <c r="J186" s="6" t="s">
        <v>386</v>
      </c>
      <c r="K186" s="6" t="s">
        <v>110</v>
      </c>
      <c r="L186" s="6" t="s">
        <v>385</v>
      </c>
      <c r="M186" s="15">
        <f>Таблица1[[#This Row],[Дата окончания ]]-7</f>
        <v>46111</v>
      </c>
      <c r="N186" s="18">
        <f>Таблица1[[#This Row],[Дата окончания ]]-5</f>
        <v>46113</v>
      </c>
      <c r="O186" s="15">
        <f>Таблица1[[#This Row],[Дата окончания ]]-1</f>
        <v>46117</v>
      </c>
      <c r="P186" s="6" t="s">
        <v>420</v>
      </c>
    </row>
    <row r="187" spans="1:16" ht="46.5" x14ac:dyDescent="0.35">
      <c r="A187" s="6" t="s">
        <v>380</v>
      </c>
      <c r="B187" s="14" t="s">
        <v>421</v>
      </c>
      <c r="C187" s="6" t="s">
        <v>382</v>
      </c>
      <c r="D187" s="6" t="s">
        <v>294</v>
      </c>
      <c r="E187" s="6" t="s">
        <v>383</v>
      </c>
      <c r="F187" s="6" t="s">
        <v>384</v>
      </c>
      <c r="G187" s="22">
        <v>12050.010000000002</v>
      </c>
      <c r="H187" s="15">
        <v>46094</v>
      </c>
      <c r="I187" s="15">
        <v>46119</v>
      </c>
      <c r="J187" s="6" t="s">
        <v>386</v>
      </c>
      <c r="K187" s="6" t="s">
        <v>110</v>
      </c>
      <c r="L187" s="6" t="s">
        <v>385</v>
      </c>
      <c r="M187" s="15">
        <f>Таблица1[[#This Row],[Дата окончания ]]-7</f>
        <v>46112</v>
      </c>
      <c r="N187" s="18">
        <f>Таблица1[[#This Row],[Дата окончания ]]-5</f>
        <v>46114</v>
      </c>
      <c r="O187" s="15">
        <f>Таблица1[[#This Row],[Дата окончания ]]-1</f>
        <v>46118</v>
      </c>
      <c r="P187" s="6" t="s">
        <v>422</v>
      </c>
    </row>
    <row r="188" spans="1:16" ht="62" x14ac:dyDescent="0.35">
      <c r="A188" s="29" t="s">
        <v>360</v>
      </c>
      <c r="B188" s="14" t="s">
        <v>220</v>
      </c>
      <c r="C188" s="6" t="s">
        <v>116</v>
      </c>
      <c r="D188" s="6" t="s">
        <v>115</v>
      </c>
      <c r="E188" s="6" t="s">
        <v>344</v>
      </c>
      <c r="F188" s="6" t="s">
        <v>399</v>
      </c>
      <c r="G188" s="22">
        <v>10070.210000000003</v>
      </c>
      <c r="H188" s="15">
        <v>46063</v>
      </c>
      <c r="I188" s="15">
        <v>46119</v>
      </c>
      <c r="J188" s="6" t="s">
        <v>345</v>
      </c>
      <c r="K188" s="25" t="s">
        <v>110</v>
      </c>
      <c r="L188" s="6" t="s">
        <v>347</v>
      </c>
      <c r="M188" s="15">
        <f>Таблица1[[#This Row],[Дата окончания ]]-7</f>
        <v>46112</v>
      </c>
      <c r="N188" s="18">
        <f>Таблица1[[#This Row],[Дата окончания ]]-5</f>
        <v>46114</v>
      </c>
      <c r="O188" s="15">
        <f>Таблица1[[#This Row],[Дата окончания ]]-1</f>
        <v>46118</v>
      </c>
      <c r="P188" s="6" t="s">
        <v>423</v>
      </c>
    </row>
    <row r="189" spans="1:16" ht="31" x14ac:dyDescent="0.35">
      <c r="A189" s="31" t="s">
        <v>167</v>
      </c>
      <c r="B189" s="14" t="s">
        <v>424</v>
      </c>
      <c r="C189" s="6" t="s">
        <v>96</v>
      </c>
      <c r="D189" s="6" t="s">
        <v>97</v>
      </c>
      <c r="E189" s="6" t="s">
        <v>168</v>
      </c>
      <c r="F189" s="6" t="s">
        <v>169</v>
      </c>
      <c r="G189" s="22">
        <v>9628.2000000000007</v>
      </c>
      <c r="H189" s="18">
        <v>46028</v>
      </c>
      <c r="I189" s="15">
        <v>46119</v>
      </c>
      <c r="J189" s="6" t="s">
        <v>172</v>
      </c>
      <c r="K189" s="6" t="s">
        <v>170</v>
      </c>
      <c r="L189" s="6" t="s">
        <v>102</v>
      </c>
      <c r="M189" s="15">
        <f>Таблица1[[#This Row],[Дата окончания ]]-7</f>
        <v>46112</v>
      </c>
      <c r="N189" s="18">
        <f>Таблица1[[#This Row],[Дата окончания ]]-5</f>
        <v>46114</v>
      </c>
      <c r="O189" s="15">
        <f>Таблица1[[#This Row],[Дата окончания ]]-1</f>
        <v>46118</v>
      </c>
      <c r="P189" s="6" t="s">
        <v>425</v>
      </c>
    </row>
    <row r="190" spans="1:16" ht="62" x14ac:dyDescent="0.35">
      <c r="A190" s="29" t="s">
        <v>360</v>
      </c>
      <c r="B190" s="14" t="s">
        <v>223</v>
      </c>
      <c r="C190" s="6" t="s">
        <v>116</v>
      </c>
      <c r="D190" s="6" t="s">
        <v>115</v>
      </c>
      <c r="E190" s="6" t="s">
        <v>344</v>
      </c>
      <c r="F190" s="6" t="s">
        <v>399</v>
      </c>
      <c r="G190" s="22">
        <v>10288.450000000001</v>
      </c>
      <c r="H190" s="15">
        <v>46063</v>
      </c>
      <c r="I190" s="15">
        <v>46120</v>
      </c>
      <c r="J190" s="6" t="s">
        <v>345</v>
      </c>
      <c r="K190" s="25" t="s">
        <v>110</v>
      </c>
      <c r="L190" s="6" t="s">
        <v>347</v>
      </c>
      <c r="M190" s="15">
        <f>Таблица1[[#This Row],[Дата окончания ]]-7</f>
        <v>46113</v>
      </c>
      <c r="N190" s="18">
        <f>Таблица1[[#This Row],[Дата окончания ]]-5</f>
        <v>46115</v>
      </c>
      <c r="O190" s="15">
        <f>Таблица1[[#This Row],[Дата окончания ]]-1</f>
        <v>46119</v>
      </c>
      <c r="P190" s="6" t="s">
        <v>375</v>
      </c>
    </row>
    <row r="191" spans="1:16" ht="62" x14ac:dyDescent="0.35">
      <c r="A191" s="29" t="s">
        <v>360</v>
      </c>
      <c r="B191" s="14" t="s">
        <v>226</v>
      </c>
      <c r="C191" s="6" t="s">
        <v>116</v>
      </c>
      <c r="D191" s="6" t="s">
        <v>115</v>
      </c>
      <c r="E191" s="6" t="s">
        <v>344</v>
      </c>
      <c r="F191" s="6" t="s">
        <v>399</v>
      </c>
      <c r="G191" s="22">
        <v>10668.5</v>
      </c>
      <c r="H191" s="15">
        <v>46063</v>
      </c>
      <c r="I191" s="15">
        <v>46120</v>
      </c>
      <c r="J191" s="6" t="s">
        <v>345</v>
      </c>
      <c r="K191" s="25" t="s">
        <v>110</v>
      </c>
      <c r="L191" s="6" t="s">
        <v>347</v>
      </c>
      <c r="M191" s="15">
        <f>Таблица1[[#This Row],[Дата окончания ]]-7</f>
        <v>46113</v>
      </c>
      <c r="N191" s="18">
        <f>Таблица1[[#This Row],[Дата окончания ]]-5</f>
        <v>46115</v>
      </c>
      <c r="O191" s="15">
        <f>Таблица1[[#This Row],[Дата окончания ]]-1</f>
        <v>46119</v>
      </c>
      <c r="P191" s="6" t="s">
        <v>375</v>
      </c>
    </row>
    <row r="192" spans="1:16" ht="46.5" x14ac:dyDescent="0.35">
      <c r="A192" s="6" t="s">
        <v>380</v>
      </c>
      <c r="B192" s="14" t="s">
        <v>426</v>
      </c>
      <c r="C192" s="6" t="s">
        <v>382</v>
      </c>
      <c r="D192" s="6" t="s">
        <v>294</v>
      </c>
      <c r="E192" s="6" t="s">
        <v>383</v>
      </c>
      <c r="F192" s="6" t="s">
        <v>384</v>
      </c>
      <c r="G192" s="22">
        <v>11511.45</v>
      </c>
      <c r="H192" s="15">
        <v>46094</v>
      </c>
      <c r="I192" s="15">
        <v>46120</v>
      </c>
      <c r="J192" s="6" t="s">
        <v>386</v>
      </c>
      <c r="K192" s="6" t="s">
        <v>110</v>
      </c>
      <c r="L192" s="6" t="s">
        <v>385</v>
      </c>
      <c r="M192" s="15">
        <f>Таблица1[[#This Row],[Дата окончания ]]-7</f>
        <v>46113</v>
      </c>
      <c r="N192" s="18">
        <f>Таблица1[[#This Row],[Дата окончания ]]-5</f>
        <v>46115</v>
      </c>
      <c r="O192" s="15">
        <f>Таблица1[[#This Row],[Дата окончания ]]-1</f>
        <v>46119</v>
      </c>
      <c r="P192" s="6" t="s">
        <v>427</v>
      </c>
    </row>
    <row r="193" spans="1:17" ht="62" x14ac:dyDescent="0.35">
      <c r="A193" s="29" t="s">
        <v>360</v>
      </c>
      <c r="B193" s="14" t="s">
        <v>140</v>
      </c>
      <c r="C193" s="6" t="s">
        <v>116</v>
      </c>
      <c r="D193" s="6" t="s">
        <v>115</v>
      </c>
      <c r="E193" s="6" t="s">
        <v>344</v>
      </c>
      <c r="F193" s="6" t="s">
        <v>399</v>
      </c>
      <c r="G193" s="22">
        <v>9002.8799999999992</v>
      </c>
      <c r="H193" s="15">
        <v>46063</v>
      </c>
      <c r="I193" s="15">
        <v>46120</v>
      </c>
      <c r="J193" s="6" t="s">
        <v>345</v>
      </c>
      <c r="K193" s="25" t="s">
        <v>110</v>
      </c>
      <c r="L193" s="6" t="s">
        <v>347</v>
      </c>
      <c r="M193" s="15">
        <f>Таблица1[[#This Row],[Дата окончания ]]-7</f>
        <v>46113</v>
      </c>
      <c r="N193" s="18">
        <f>Таблица1[[#This Row],[Дата окончания ]]-5</f>
        <v>46115</v>
      </c>
      <c r="O193" s="15">
        <f>Таблица1[[#This Row],[Дата окончания ]]-1</f>
        <v>46119</v>
      </c>
      <c r="P193" s="6" t="s">
        <v>428</v>
      </c>
    </row>
    <row r="194" spans="1:17" ht="46.5" x14ac:dyDescent="0.35">
      <c r="A194" s="6" t="s">
        <v>380</v>
      </c>
      <c r="B194" s="14" t="s">
        <v>429</v>
      </c>
      <c r="C194" s="6" t="s">
        <v>382</v>
      </c>
      <c r="D194" s="6" t="s">
        <v>294</v>
      </c>
      <c r="E194" s="6" t="s">
        <v>383</v>
      </c>
      <c r="F194" s="6" t="s">
        <v>384</v>
      </c>
      <c r="G194" s="22">
        <v>9355.9599999999991</v>
      </c>
      <c r="H194" s="15">
        <v>46094</v>
      </c>
      <c r="I194" s="15">
        <v>46120</v>
      </c>
      <c r="J194" s="6" t="s">
        <v>386</v>
      </c>
      <c r="K194" s="6" t="s">
        <v>110</v>
      </c>
      <c r="L194" s="6" t="s">
        <v>385</v>
      </c>
      <c r="M194" s="15">
        <f>Таблица1[[#This Row],[Дата окончания ]]-7</f>
        <v>46113</v>
      </c>
      <c r="N194" s="18">
        <f>Таблица1[[#This Row],[Дата окончания ]]-5</f>
        <v>46115</v>
      </c>
      <c r="O194" s="15">
        <f>Таблица1[[#This Row],[Дата окончания ]]-1</f>
        <v>46119</v>
      </c>
      <c r="P194" s="6" t="s">
        <v>430</v>
      </c>
    </row>
    <row r="195" spans="1:17" s="24" customFormat="1" ht="77.5" x14ac:dyDescent="0.35">
      <c r="A195" s="16" t="s">
        <v>431</v>
      </c>
      <c r="B195" s="23" t="s">
        <v>432</v>
      </c>
      <c r="C195" s="16" t="s">
        <v>438</v>
      </c>
      <c r="D195" s="16" t="s">
        <v>433</v>
      </c>
      <c r="E195" s="16" t="s">
        <v>437</v>
      </c>
      <c r="F195" s="16" t="s">
        <v>434</v>
      </c>
      <c r="G195" s="21">
        <v>49484.400000000009</v>
      </c>
      <c r="H195" s="18">
        <v>46100</v>
      </c>
      <c r="I195" s="18">
        <v>46122</v>
      </c>
      <c r="J195" s="16" t="s">
        <v>436</v>
      </c>
      <c r="K195" s="16" t="s">
        <v>270</v>
      </c>
      <c r="L195" s="16" t="s">
        <v>435</v>
      </c>
      <c r="M195" s="15">
        <f>Таблица1[[#This Row],[Дата окончания ]]-7</f>
        <v>46115</v>
      </c>
      <c r="N195" s="18">
        <f>Таблица1[[#This Row],[Дата окончания ]]-5</f>
        <v>46117</v>
      </c>
      <c r="O195" s="18">
        <f>Таблица1[[#This Row],[Дата окончания ]]-1</f>
        <v>46121</v>
      </c>
      <c r="P195" s="16" t="s">
        <v>440</v>
      </c>
      <c r="Q195" s="24" t="s">
        <v>447</v>
      </c>
    </row>
    <row r="196" spans="1:17" ht="62" x14ac:dyDescent="0.35">
      <c r="A196" s="29" t="s">
        <v>360</v>
      </c>
      <c r="B196" s="14" t="s">
        <v>141</v>
      </c>
      <c r="C196" s="6" t="s">
        <v>116</v>
      </c>
      <c r="D196" s="6" t="s">
        <v>115</v>
      </c>
      <c r="E196" s="6" t="s">
        <v>344</v>
      </c>
      <c r="F196" s="6" t="s">
        <v>399</v>
      </c>
      <c r="G196" s="22">
        <v>10161.379999999999</v>
      </c>
      <c r="H196" s="15">
        <v>46063</v>
      </c>
      <c r="I196" s="18">
        <v>46121</v>
      </c>
      <c r="J196" s="6" t="s">
        <v>345</v>
      </c>
      <c r="K196" s="25" t="s">
        <v>110</v>
      </c>
      <c r="L196" s="6" t="s">
        <v>347</v>
      </c>
      <c r="M196" s="15">
        <f>Таблица1[[#This Row],[Дата окончания ]]-7</f>
        <v>46114</v>
      </c>
      <c r="N196" s="18">
        <f>Таблица1[[#This Row],[Дата окончания ]]-5</f>
        <v>46116</v>
      </c>
      <c r="O196" s="15">
        <f>Таблица1[[#This Row],[Дата окончания ]]-1</f>
        <v>46120</v>
      </c>
      <c r="P196" s="6" t="s">
        <v>439</v>
      </c>
    </row>
    <row r="197" spans="1:17" ht="46.5" x14ac:dyDescent="0.35">
      <c r="A197" s="6" t="s">
        <v>380</v>
      </c>
      <c r="B197" s="14" t="s">
        <v>441</v>
      </c>
      <c r="C197" s="6" t="s">
        <v>382</v>
      </c>
      <c r="D197" s="6" t="s">
        <v>294</v>
      </c>
      <c r="E197" s="6" t="s">
        <v>383</v>
      </c>
      <c r="F197" s="6" t="s">
        <v>384</v>
      </c>
      <c r="G197" s="22">
        <v>9821.8799999999992</v>
      </c>
      <c r="H197" s="15">
        <v>46094</v>
      </c>
      <c r="I197" s="18">
        <v>46122</v>
      </c>
      <c r="J197" s="6" t="s">
        <v>386</v>
      </c>
      <c r="K197" s="6" t="s">
        <v>110</v>
      </c>
      <c r="L197" s="6" t="s">
        <v>385</v>
      </c>
      <c r="M197" s="15">
        <f>Таблица1[[#This Row],[Дата окончания ]]-7</f>
        <v>46115</v>
      </c>
      <c r="N197" s="18">
        <f>Таблица1[[#This Row],[Дата окончания ]]-5</f>
        <v>46117</v>
      </c>
      <c r="O197" s="15">
        <f>Таблица1[[#This Row],[Дата окончания ]]-1</f>
        <v>46121</v>
      </c>
      <c r="P197" s="6" t="s">
        <v>442</v>
      </c>
    </row>
    <row r="198" spans="1:17" s="24" customFormat="1" ht="46.5" x14ac:dyDescent="0.35">
      <c r="A198" s="16" t="s">
        <v>381</v>
      </c>
      <c r="B198" s="23" t="s">
        <v>443</v>
      </c>
      <c r="C198" s="16" t="s">
        <v>387</v>
      </c>
      <c r="D198" s="16" t="s">
        <v>294</v>
      </c>
      <c r="E198" s="16" t="s">
        <v>383</v>
      </c>
      <c r="F198" s="16" t="s">
        <v>444</v>
      </c>
      <c r="G198" s="21">
        <v>13649.27</v>
      </c>
      <c r="H198" s="18">
        <v>46107</v>
      </c>
      <c r="I198" s="18">
        <v>46125</v>
      </c>
      <c r="J198" s="16" t="s">
        <v>445</v>
      </c>
      <c r="K198" s="16" t="s">
        <v>110</v>
      </c>
      <c r="L198" s="16" t="s">
        <v>446</v>
      </c>
      <c r="M198" s="15">
        <f>Таблица1[[#This Row],[Дата окончания ]]-7</f>
        <v>46118</v>
      </c>
      <c r="N198" s="18">
        <f>Таблица1[[#This Row],[Дата окончания ]]-5</f>
        <v>46120</v>
      </c>
      <c r="O198" s="18">
        <f>I198-1</f>
        <v>46124</v>
      </c>
      <c r="P198" s="16" t="s">
        <v>398</v>
      </c>
    </row>
    <row r="199" spans="1:17" ht="46.5" x14ac:dyDescent="0.35">
      <c r="A199" s="31" t="s">
        <v>380</v>
      </c>
      <c r="B199" s="35" t="s">
        <v>448</v>
      </c>
      <c r="C199" s="6" t="s">
        <v>382</v>
      </c>
      <c r="D199" s="6" t="s">
        <v>294</v>
      </c>
      <c r="E199" s="6" t="s">
        <v>383</v>
      </c>
      <c r="F199" s="6" t="s">
        <v>384</v>
      </c>
      <c r="G199" s="36">
        <v>1199.57</v>
      </c>
      <c r="H199" s="15">
        <v>46094</v>
      </c>
      <c r="I199" s="18">
        <v>46125</v>
      </c>
      <c r="J199" s="6" t="s">
        <v>386</v>
      </c>
      <c r="K199" s="6" t="s">
        <v>110</v>
      </c>
      <c r="L199" s="6" t="s">
        <v>385</v>
      </c>
      <c r="M199" s="15">
        <f>Таблица1[[#This Row],[Дата окончания ]]-7</f>
        <v>46118</v>
      </c>
      <c r="N199" s="18">
        <f>Таблица1[[#This Row],[Дата окончания ]]-5</f>
        <v>46120</v>
      </c>
      <c r="O199" s="9">
        <f>Таблица1[[#This Row],[Дата окончания ]]-1</f>
        <v>46124</v>
      </c>
      <c r="P199" s="37" t="s">
        <v>449</v>
      </c>
    </row>
    <row r="200" spans="1:17" ht="46.5" x14ac:dyDescent="0.35">
      <c r="A200" s="16" t="s">
        <v>381</v>
      </c>
      <c r="B200" s="23" t="s">
        <v>450</v>
      </c>
      <c r="C200" s="16" t="s">
        <v>387</v>
      </c>
      <c r="D200" s="16" t="s">
        <v>294</v>
      </c>
      <c r="E200" s="16" t="s">
        <v>383</v>
      </c>
      <c r="F200" s="16" t="s">
        <v>444</v>
      </c>
      <c r="G200" s="22">
        <v>10876.15</v>
      </c>
      <c r="H200" s="15">
        <v>46107</v>
      </c>
      <c r="I200" s="18">
        <v>46125</v>
      </c>
      <c r="J200" s="6" t="s">
        <v>445</v>
      </c>
      <c r="K200" s="6" t="s">
        <v>110</v>
      </c>
      <c r="L200" s="6" t="s">
        <v>446</v>
      </c>
      <c r="M200" s="15">
        <f>Таблица1[[#This Row],[Дата окончания ]]-7</f>
        <v>46118</v>
      </c>
      <c r="N200" s="18">
        <f>Таблица1[[#This Row],[Дата окончания ]]-5</f>
        <v>46120</v>
      </c>
      <c r="O200" s="15">
        <f>Таблица1[[#This Row],[Дата окончания ]]-1</f>
        <v>46124</v>
      </c>
      <c r="P200" s="6" t="s">
        <v>379</v>
      </c>
    </row>
    <row r="201" spans="1:17" ht="46.5" x14ac:dyDescent="0.35">
      <c r="A201" s="16" t="s">
        <v>381</v>
      </c>
      <c r="B201" s="23" t="s">
        <v>451</v>
      </c>
      <c r="C201" s="16" t="s">
        <v>387</v>
      </c>
      <c r="D201" s="16" t="s">
        <v>294</v>
      </c>
      <c r="E201" s="16" t="s">
        <v>383</v>
      </c>
      <c r="F201" s="16" t="s">
        <v>444</v>
      </c>
      <c r="G201" s="22">
        <v>13769.8</v>
      </c>
      <c r="H201" s="15">
        <v>46107</v>
      </c>
      <c r="I201" s="18">
        <v>46125</v>
      </c>
      <c r="J201" s="6" t="s">
        <v>445</v>
      </c>
      <c r="K201" s="6" t="s">
        <v>110</v>
      </c>
      <c r="L201" s="6" t="s">
        <v>446</v>
      </c>
      <c r="M201" s="15">
        <f>Таблица1[[#This Row],[Дата окончания ]]-7</f>
        <v>46118</v>
      </c>
      <c r="N201" s="18">
        <f>Таблица1[[#This Row],[Дата окончания ]]-5</f>
        <v>46120</v>
      </c>
      <c r="O201" s="15">
        <f>Таблица1[[#This Row],[Дата окончания ]]-1</f>
        <v>46124</v>
      </c>
      <c r="P201" s="16" t="s">
        <v>398</v>
      </c>
    </row>
    <row r="202" spans="1:17" ht="46.5" x14ac:dyDescent="0.35">
      <c r="A202" s="31" t="s">
        <v>167</v>
      </c>
      <c r="B202" s="14" t="s">
        <v>452</v>
      </c>
      <c r="C202" s="6" t="s">
        <v>96</v>
      </c>
      <c r="D202" s="6" t="s">
        <v>97</v>
      </c>
      <c r="E202" s="6" t="s">
        <v>168</v>
      </c>
      <c r="F202" s="6" t="s">
        <v>169</v>
      </c>
      <c r="G202" s="22">
        <v>12067.800000000001</v>
      </c>
      <c r="H202" s="18">
        <v>46028</v>
      </c>
      <c r="I202" s="15">
        <v>46125</v>
      </c>
      <c r="J202" s="6" t="s">
        <v>172</v>
      </c>
      <c r="K202" s="6" t="s">
        <v>170</v>
      </c>
      <c r="L202" s="6" t="s">
        <v>102</v>
      </c>
      <c r="M202" s="15">
        <f>Таблица1[[#This Row],[Дата окончания ]]-7</f>
        <v>46118</v>
      </c>
      <c r="N202" s="18">
        <f>Таблица1[[#This Row],[Дата окончания ]]-5</f>
        <v>46120</v>
      </c>
      <c r="O202" s="15">
        <f>Таблица1[[#This Row],[Дата окончания ]]-1</f>
        <v>46124</v>
      </c>
      <c r="P202" s="6" t="s">
        <v>453</v>
      </c>
    </row>
    <row r="203" spans="1:17" ht="46.5" x14ac:dyDescent="0.35">
      <c r="A203" s="16" t="s">
        <v>381</v>
      </c>
      <c r="B203" s="23" t="s">
        <v>454</v>
      </c>
      <c r="C203" s="16" t="s">
        <v>387</v>
      </c>
      <c r="D203" s="16" t="s">
        <v>294</v>
      </c>
      <c r="E203" s="16" t="s">
        <v>383</v>
      </c>
      <c r="F203" s="16" t="s">
        <v>444</v>
      </c>
      <c r="G203" s="22">
        <v>10689.060000000001</v>
      </c>
      <c r="H203" s="15">
        <v>46107</v>
      </c>
      <c r="I203" s="18">
        <v>46126</v>
      </c>
      <c r="J203" s="6" t="s">
        <v>445</v>
      </c>
      <c r="K203" s="6" t="s">
        <v>110</v>
      </c>
      <c r="L203" s="6" t="s">
        <v>446</v>
      </c>
      <c r="M203" s="15">
        <f>Таблица1[[#This Row],[Дата окончания ]]-7</f>
        <v>46119</v>
      </c>
      <c r="N203" s="18">
        <f>Таблица1[[#This Row],[Дата окончания ]]-5</f>
        <v>46121</v>
      </c>
      <c r="O203" s="15">
        <f>Таблица1[[#This Row],[Дата окончания ]]-1</f>
        <v>46125</v>
      </c>
      <c r="P203" s="6" t="s">
        <v>455</v>
      </c>
    </row>
    <row r="204" spans="1:17" ht="46.5" x14ac:dyDescent="0.35">
      <c r="A204" s="16" t="s">
        <v>381</v>
      </c>
      <c r="B204" s="23" t="s">
        <v>456</v>
      </c>
      <c r="C204" s="16" t="s">
        <v>387</v>
      </c>
      <c r="D204" s="16" t="s">
        <v>294</v>
      </c>
      <c r="E204" s="16" t="s">
        <v>383</v>
      </c>
      <c r="F204" s="16" t="s">
        <v>444</v>
      </c>
      <c r="G204" s="22">
        <v>11037.54</v>
      </c>
      <c r="H204" s="15">
        <v>46107</v>
      </c>
      <c r="I204" s="18">
        <v>46126</v>
      </c>
      <c r="J204" s="6" t="s">
        <v>445</v>
      </c>
      <c r="K204" s="6" t="s">
        <v>110</v>
      </c>
      <c r="L204" s="6" t="s">
        <v>446</v>
      </c>
      <c r="M204" s="15">
        <f>Таблица1[[#This Row],[Дата окончания ]]-7</f>
        <v>46119</v>
      </c>
      <c r="N204" s="18">
        <f>Таблица1[[#This Row],[Дата окончания ]]-5</f>
        <v>46121</v>
      </c>
      <c r="O204" s="15">
        <f>Таблица1[[#This Row],[Дата окончания ]]-1</f>
        <v>46125</v>
      </c>
      <c r="P204" s="6" t="s">
        <v>457</v>
      </c>
    </row>
    <row r="205" spans="1:17" ht="62" x14ac:dyDescent="0.35">
      <c r="A205" s="29" t="s">
        <v>360</v>
      </c>
      <c r="B205" s="14" t="s">
        <v>143</v>
      </c>
      <c r="C205" s="6" t="s">
        <v>116</v>
      </c>
      <c r="D205" s="6" t="s">
        <v>115</v>
      </c>
      <c r="E205" s="6" t="s">
        <v>344</v>
      </c>
      <c r="F205" s="6" t="s">
        <v>399</v>
      </c>
      <c r="G205" s="22">
        <v>8863.19</v>
      </c>
      <c r="H205" s="15">
        <v>46063</v>
      </c>
      <c r="I205" s="18">
        <v>46128</v>
      </c>
      <c r="J205" s="6" t="s">
        <v>345</v>
      </c>
      <c r="K205" s="25" t="s">
        <v>110</v>
      </c>
      <c r="L205" s="6" t="s">
        <v>347</v>
      </c>
      <c r="M205" s="15">
        <f>Таблица1[[#This Row],[Дата окончания ]]-7</f>
        <v>46121</v>
      </c>
      <c r="N205" s="18">
        <f>Таблица1[[#This Row],[Дата окончания ]]-5</f>
        <v>46123</v>
      </c>
      <c r="O205" s="15">
        <f>Таблица1[[#This Row],[Дата окончания ]]-1</f>
        <v>46127</v>
      </c>
      <c r="P205" s="6" t="s">
        <v>458</v>
      </c>
    </row>
    <row r="206" spans="1:17" ht="46.5" x14ac:dyDescent="0.35">
      <c r="A206" s="16" t="s">
        <v>381</v>
      </c>
      <c r="B206" s="23" t="s">
        <v>459</v>
      </c>
      <c r="C206" s="16" t="s">
        <v>387</v>
      </c>
      <c r="D206" s="16" t="s">
        <v>294</v>
      </c>
      <c r="E206" s="16" t="s">
        <v>383</v>
      </c>
      <c r="F206" s="16" t="s">
        <v>444</v>
      </c>
      <c r="G206" s="22">
        <v>13671.89</v>
      </c>
      <c r="H206" s="15">
        <v>46107</v>
      </c>
      <c r="I206" s="18">
        <v>46127</v>
      </c>
      <c r="J206" s="6" t="s">
        <v>445</v>
      </c>
      <c r="K206" s="6" t="s">
        <v>110</v>
      </c>
      <c r="L206" s="6" t="s">
        <v>446</v>
      </c>
      <c r="M206" s="15">
        <f>Таблица1[[#This Row],[Дата окончания ]]-7</f>
        <v>46120</v>
      </c>
      <c r="N206" s="18">
        <f>Таблица1[[#This Row],[Дата окончания ]]-5</f>
        <v>46122</v>
      </c>
      <c r="O206" s="15">
        <f>Таблица1[[#This Row],[Дата окончания ]]-1</f>
        <v>46126</v>
      </c>
      <c r="P206" s="16" t="s">
        <v>398</v>
      </c>
    </row>
    <row r="207" spans="1:17" ht="46.5" x14ac:dyDescent="0.35">
      <c r="A207" s="16" t="s">
        <v>381</v>
      </c>
      <c r="B207" s="23" t="s">
        <v>460</v>
      </c>
      <c r="C207" s="16" t="s">
        <v>387</v>
      </c>
      <c r="D207" s="16" t="s">
        <v>294</v>
      </c>
      <c r="E207" s="16" t="s">
        <v>383</v>
      </c>
      <c r="F207" s="16" t="s">
        <v>444</v>
      </c>
      <c r="G207" s="22">
        <v>11001.62</v>
      </c>
      <c r="H207" s="15">
        <v>46107</v>
      </c>
      <c r="I207" s="18">
        <v>46128</v>
      </c>
      <c r="J207" s="6" t="s">
        <v>445</v>
      </c>
      <c r="K207" s="6" t="s">
        <v>110</v>
      </c>
      <c r="L207" s="6" t="s">
        <v>446</v>
      </c>
      <c r="M207" s="15">
        <f>Таблица1[[#This Row],[Дата окончания ]]-7</f>
        <v>46121</v>
      </c>
      <c r="N207" s="18">
        <f>Таблица1[[#This Row],[Дата окончания ]]-5</f>
        <v>46123</v>
      </c>
      <c r="O207" s="15">
        <f>Таблица1[[#This Row],[Дата окончания ]]-1</f>
        <v>46127</v>
      </c>
      <c r="P207" s="6" t="s">
        <v>461</v>
      </c>
    </row>
    <row r="208" spans="1:17" ht="62" x14ac:dyDescent="0.35">
      <c r="A208" s="29" t="s">
        <v>360</v>
      </c>
      <c r="B208" s="14" t="s">
        <v>144</v>
      </c>
      <c r="C208" s="6" t="s">
        <v>116</v>
      </c>
      <c r="D208" s="6" t="s">
        <v>115</v>
      </c>
      <c r="E208" s="6" t="s">
        <v>344</v>
      </c>
      <c r="F208" s="6" t="s">
        <v>399</v>
      </c>
      <c r="G208" s="22">
        <v>10159.810000000001</v>
      </c>
      <c r="H208" s="15">
        <v>46063</v>
      </c>
      <c r="I208" s="18">
        <v>46128</v>
      </c>
      <c r="J208" s="6" t="s">
        <v>445</v>
      </c>
      <c r="K208" s="6" t="s">
        <v>110</v>
      </c>
      <c r="L208" s="6" t="s">
        <v>446</v>
      </c>
      <c r="M208" s="15">
        <f>Таблица1[[#This Row],[Дата окончания ]]-7</f>
        <v>46121</v>
      </c>
      <c r="N208" s="18">
        <f>Таблица1[[#This Row],[Дата окончания ]]-5</f>
        <v>46123</v>
      </c>
      <c r="O208" s="15">
        <f>Таблица1[[#This Row],[Дата окончания ]]-1</f>
        <v>46127</v>
      </c>
      <c r="P208" s="6" t="s">
        <v>462</v>
      </c>
    </row>
    <row r="209" spans="1:16" ht="46.5" x14ac:dyDescent="0.35">
      <c r="A209" s="16" t="s">
        <v>381</v>
      </c>
      <c r="B209" s="14" t="s">
        <v>463</v>
      </c>
      <c r="C209" s="16" t="s">
        <v>387</v>
      </c>
      <c r="D209" s="16" t="s">
        <v>294</v>
      </c>
      <c r="E209" s="16" t="s">
        <v>383</v>
      </c>
      <c r="F209" s="16" t="s">
        <v>444</v>
      </c>
      <c r="G209" s="22">
        <v>11380.95</v>
      </c>
      <c r="H209" s="15">
        <v>46107</v>
      </c>
      <c r="I209" s="18">
        <v>46129</v>
      </c>
      <c r="J209" s="6" t="s">
        <v>445</v>
      </c>
      <c r="K209" s="6" t="s">
        <v>110</v>
      </c>
      <c r="L209" s="6" t="s">
        <v>446</v>
      </c>
      <c r="M209" s="15">
        <f>Таблица1[[#This Row],[Дата окончания ]]-7</f>
        <v>46122</v>
      </c>
      <c r="N209" s="18">
        <f>Таблица1[[#This Row],[Дата окончания ]]-5</f>
        <v>46124</v>
      </c>
      <c r="O209" s="15">
        <f>Таблица1[[#This Row],[Дата окончания ]]-1</f>
        <v>46128</v>
      </c>
      <c r="P209" s="6" t="s">
        <v>464</v>
      </c>
    </row>
    <row r="210" spans="1:16" ht="46.5" x14ac:dyDescent="0.35">
      <c r="A210" s="6" t="s">
        <v>380</v>
      </c>
      <c r="B210" s="35" t="s">
        <v>465</v>
      </c>
      <c r="C210" s="6" t="s">
        <v>382</v>
      </c>
      <c r="D210" s="6" t="s">
        <v>294</v>
      </c>
      <c r="E210" s="6" t="s">
        <v>383</v>
      </c>
      <c r="F210" s="6" t="s">
        <v>384</v>
      </c>
      <c r="G210" s="22">
        <v>232.12</v>
      </c>
      <c r="H210" s="15">
        <v>46094</v>
      </c>
      <c r="I210" s="18">
        <v>46129</v>
      </c>
      <c r="J210" s="6" t="s">
        <v>386</v>
      </c>
      <c r="K210" s="6" t="s">
        <v>110</v>
      </c>
      <c r="L210" s="6" t="s">
        <v>385</v>
      </c>
      <c r="M210" s="15">
        <f>Таблица1[[#This Row],[Дата окончания ]]-7</f>
        <v>46122</v>
      </c>
      <c r="N210" s="18"/>
      <c r="O210" s="15">
        <f>Таблица1[[#This Row],[Дата окончания ]]-1</f>
        <v>46128</v>
      </c>
      <c r="P210" s="6" t="s">
        <v>466</v>
      </c>
    </row>
    <row r="211" spans="1:16" ht="62" x14ac:dyDescent="0.35">
      <c r="A211" s="29" t="s">
        <v>467</v>
      </c>
      <c r="B211" s="14" t="s">
        <v>165</v>
      </c>
      <c r="C211" s="6" t="s">
        <v>116</v>
      </c>
      <c r="D211" s="6" t="s">
        <v>115</v>
      </c>
      <c r="E211" s="6" t="s">
        <v>344</v>
      </c>
      <c r="F211" s="6" t="s">
        <v>399</v>
      </c>
      <c r="G211" s="22">
        <v>10503.34</v>
      </c>
      <c r="H211" s="15">
        <v>46063</v>
      </c>
      <c r="I211" s="18">
        <v>46129</v>
      </c>
      <c r="J211" s="6" t="s">
        <v>445</v>
      </c>
      <c r="K211" s="6" t="s">
        <v>110</v>
      </c>
      <c r="L211" s="6" t="s">
        <v>446</v>
      </c>
      <c r="M211" s="18">
        <f>Таблица1[[#This Row],[Дата окончания ]]-7</f>
        <v>46122</v>
      </c>
      <c r="N211" s="18">
        <f>Таблица1[[#This Row],[Дата окончания ]]-5</f>
        <v>46124</v>
      </c>
      <c r="O211" s="15">
        <f>Таблица1[[#This Row],[Дата окончания ]]-1</f>
        <v>46128</v>
      </c>
      <c r="P211" s="6" t="s">
        <v>342</v>
      </c>
    </row>
    <row r="212" spans="1:16" ht="46.5" x14ac:dyDescent="0.35">
      <c r="A212" s="16" t="s">
        <v>381</v>
      </c>
      <c r="B212" s="14" t="s">
        <v>468</v>
      </c>
      <c r="C212" s="16" t="s">
        <v>387</v>
      </c>
      <c r="D212" s="16" t="s">
        <v>294</v>
      </c>
      <c r="E212" s="16" t="s">
        <v>383</v>
      </c>
      <c r="F212" s="16" t="s">
        <v>444</v>
      </c>
      <c r="G212" s="22">
        <v>11517.27</v>
      </c>
      <c r="H212" s="15">
        <v>46107</v>
      </c>
      <c r="I212" s="18">
        <v>46129</v>
      </c>
      <c r="J212" s="6" t="s">
        <v>445</v>
      </c>
      <c r="K212" s="6" t="s">
        <v>110</v>
      </c>
      <c r="L212" s="6" t="s">
        <v>446</v>
      </c>
      <c r="M212" s="18">
        <f>Таблица1[[#This Row],[Дата окончания ]]-7</f>
        <v>46122</v>
      </c>
      <c r="N212" s="18">
        <f>Таблица1[[#This Row],[Дата окончания ]]-5</f>
        <v>46124</v>
      </c>
      <c r="O212" s="15">
        <f>Таблица1[[#This Row],[Дата окончания ]]-1</f>
        <v>46128</v>
      </c>
      <c r="P212" s="6" t="s">
        <v>398</v>
      </c>
    </row>
    <row r="213" spans="1:16" ht="46.5" x14ac:dyDescent="0.35">
      <c r="A213" s="16" t="s">
        <v>381</v>
      </c>
      <c r="B213" s="14" t="s">
        <v>469</v>
      </c>
      <c r="C213" s="16" t="s">
        <v>387</v>
      </c>
      <c r="D213" s="16" t="s">
        <v>294</v>
      </c>
      <c r="E213" s="16" t="s">
        <v>383</v>
      </c>
      <c r="F213" s="16" t="s">
        <v>444</v>
      </c>
      <c r="G213" s="22">
        <v>12210.81</v>
      </c>
      <c r="H213" s="15">
        <v>46107</v>
      </c>
      <c r="I213" s="18">
        <v>46129</v>
      </c>
      <c r="J213" s="6" t="s">
        <v>445</v>
      </c>
      <c r="K213" s="6" t="s">
        <v>110</v>
      </c>
      <c r="L213" s="6" t="s">
        <v>446</v>
      </c>
      <c r="M213" s="18">
        <f>Таблица1[[#This Row],[Дата окончания ]]-7</f>
        <v>46122</v>
      </c>
      <c r="N213" s="18">
        <f>Таблица1[[#This Row],[Дата окончания ]]-5</f>
        <v>46124</v>
      </c>
      <c r="O213" s="15">
        <f>Таблица1[[#This Row],[Дата окончания ]]-1</f>
        <v>46128</v>
      </c>
      <c r="P213" s="6" t="s">
        <v>470</v>
      </c>
    </row>
    <row r="214" spans="1:16" ht="46.5" x14ac:dyDescent="0.35">
      <c r="A214" s="16" t="s">
        <v>381</v>
      </c>
      <c r="B214" s="14" t="s">
        <v>474</v>
      </c>
      <c r="C214" s="16" t="s">
        <v>387</v>
      </c>
      <c r="D214" s="16" t="s">
        <v>294</v>
      </c>
      <c r="E214" s="16" t="s">
        <v>383</v>
      </c>
      <c r="F214" s="16" t="s">
        <v>444</v>
      </c>
      <c r="G214" s="22">
        <v>12517.25</v>
      </c>
      <c r="H214" s="15">
        <v>46107</v>
      </c>
      <c r="I214" s="18">
        <v>46130</v>
      </c>
      <c r="J214" s="6" t="s">
        <v>445</v>
      </c>
      <c r="K214" s="6" t="s">
        <v>110</v>
      </c>
      <c r="L214" s="6" t="s">
        <v>446</v>
      </c>
      <c r="M214" s="18">
        <f>Таблица1[[#This Row],[Дата окончания ]]-7</f>
        <v>46123</v>
      </c>
      <c r="N214" s="18">
        <f>Таблица1[[#This Row],[Дата окончания ]]-5</f>
        <v>46125</v>
      </c>
      <c r="O214" s="15">
        <f>Таблица1[[#This Row],[Дата окончания ]]-1</f>
        <v>46129</v>
      </c>
      <c r="P214" s="6" t="s">
        <v>471</v>
      </c>
    </row>
    <row r="215" spans="1:16" ht="31" x14ac:dyDescent="0.35">
      <c r="A215" s="31" t="s">
        <v>167</v>
      </c>
      <c r="B215" s="14" t="s">
        <v>472</v>
      </c>
      <c r="C215" s="6" t="s">
        <v>96</v>
      </c>
      <c r="D215" s="6" t="s">
        <v>97</v>
      </c>
      <c r="E215" s="6" t="s">
        <v>168</v>
      </c>
      <c r="F215" s="6" t="s">
        <v>169</v>
      </c>
      <c r="G215" s="22">
        <v>7459.5</v>
      </c>
      <c r="H215" s="18">
        <v>46028</v>
      </c>
      <c r="I215" s="15">
        <v>46130</v>
      </c>
      <c r="J215" s="6" t="s">
        <v>172</v>
      </c>
      <c r="K215" s="6" t="s">
        <v>170</v>
      </c>
      <c r="L215" s="6" t="s">
        <v>102</v>
      </c>
      <c r="M215" s="18">
        <f>Таблица1[[#This Row],[Дата окончания ]]-7</f>
        <v>46123</v>
      </c>
      <c r="N215" s="18"/>
      <c r="O215" s="15">
        <f>Таблица1[[#This Row],[Дата окончания ]]-1</f>
        <v>46129</v>
      </c>
      <c r="P215" s="6" t="s">
        <v>403</v>
      </c>
    </row>
    <row r="216" spans="1:16" ht="46.5" x14ac:dyDescent="0.35">
      <c r="A216" s="16" t="s">
        <v>381</v>
      </c>
      <c r="B216" s="14" t="s">
        <v>473</v>
      </c>
      <c r="C216" s="16" t="s">
        <v>387</v>
      </c>
      <c r="D216" s="16" t="s">
        <v>294</v>
      </c>
      <c r="E216" s="16" t="s">
        <v>383</v>
      </c>
      <c r="F216" s="16" t="s">
        <v>444</v>
      </c>
      <c r="G216" s="22">
        <v>12482.82</v>
      </c>
      <c r="H216" s="15">
        <v>46107</v>
      </c>
      <c r="I216" s="18">
        <v>46132</v>
      </c>
      <c r="J216" s="6" t="s">
        <v>445</v>
      </c>
      <c r="K216" s="6" t="s">
        <v>110</v>
      </c>
      <c r="L216" s="6" t="s">
        <v>446</v>
      </c>
      <c r="M216" s="18">
        <f>Таблица1[[#This Row],[Дата окончания ]]-7</f>
        <v>46125</v>
      </c>
      <c r="N216" s="18">
        <f>Таблица1[[#This Row],[Дата окончания ]]-5</f>
        <v>46127</v>
      </c>
      <c r="O216" s="15">
        <f>Таблица1[[#This Row],[Дата окончания ]]-1</f>
        <v>46131</v>
      </c>
      <c r="P216" s="6" t="s">
        <v>471</v>
      </c>
    </row>
    <row r="217" spans="1:16" ht="46.5" x14ac:dyDescent="0.35">
      <c r="A217" s="16" t="s">
        <v>381</v>
      </c>
      <c r="B217" s="14" t="s">
        <v>475</v>
      </c>
      <c r="C217" s="16" t="s">
        <v>387</v>
      </c>
      <c r="D217" s="16" t="s">
        <v>294</v>
      </c>
      <c r="E217" s="16" t="s">
        <v>383</v>
      </c>
      <c r="F217" s="16" t="s">
        <v>444</v>
      </c>
      <c r="G217" s="22">
        <v>12491.249999999996</v>
      </c>
      <c r="H217" s="15">
        <v>46107</v>
      </c>
      <c r="I217" s="18">
        <v>46132</v>
      </c>
      <c r="J217" s="6" t="s">
        <v>445</v>
      </c>
      <c r="K217" s="6" t="s">
        <v>110</v>
      </c>
      <c r="L217" s="6" t="s">
        <v>446</v>
      </c>
      <c r="M217" s="18">
        <f>Таблица1[[#This Row],[Дата окончания ]]-7</f>
        <v>46125</v>
      </c>
      <c r="N217" s="18">
        <f>Таблица1[[#This Row],[Дата окончания ]]-5</f>
        <v>46127</v>
      </c>
      <c r="O217" s="15">
        <f>Таблица1[[#This Row],[Дата окончания ]]-1</f>
        <v>46131</v>
      </c>
      <c r="P217" s="6" t="s">
        <v>476</v>
      </c>
    </row>
    <row r="218" spans="1:16" ht="62" x14ac:dyDescent="0.35">
      <c r="A218" s="29" t="s">
        <v>467</v>
      </c>
      <c r="B218" s="14" t="s">
        <v>173</v>
      </c>
      <c r="C218" s="6" t="s">
        <v>116</v>
      </c>
      <c r="D218" s="6" t="s">
        <v>115</v>
      </c>
      <c r="E218" s="6" t="s">
        <v>344</v>
      </c>
      <c r="F218" s="6" t="s">
        <v>399</v>
      </c>
      <c r="G218" s="22">
        <v>8940.5400000000027</v>
      </c>
      <c r="H218" s="15">
        <v>46063</v>
      </c>
      <c r="I218" s="18">
        <v>46132</v>
      </c>
      <c r="J218" s="6" t="s">
        <v>445</v>
      </c>
      <c r="K218" s="6" t="s">
        <v>110</v>
      </c>
      <c r="L218" s="6" t="s">
        <v>446</v>
      </c>
      <c r="M218" s="18">
        <f>Таблица1[[#This Row],[Дата окончания ]]-7</f>
        <v>46125</v>
      </c>
      <c r="N218" s="18">
        <f>Таблица1[[#This Row],[Дата окончания ]]-5</f>
        <v>46127</v>
      </c>
      <c r="O218" s="15">
        <f>Таблица1[[#This Row],[Дата окончания ]]-1</f>
        <v>46131</v>
      </c>
      <c r="P218" s="6" t="s">
        <v>477</v>
      </c>
    </row>
    <row r="219" spans="1:16" ht="62" x14ac:dyDescent="0.35">
      <c r="A219" s="29" t="s">
        <v>467</v>
      </c>
      <c r="B219" s="14" t="s">
        <v>175</v>
      </c>
      <c r="C219" s="6" t="s">
        <v>116</v>
      </c>
      <c r="D219" s="6" t="s">
        <v>115</v>
      </c>
      <c r="E219" s="6" t="s">
        <v>344</v>
      </c>
      <c r="F219" s="6" t="s">
        <v>399</v>
      </c>
      <c r="G219" s="22">
        <v>12021.92</v>
      </c>
      <c r="H219" s="15">
        <v>46063</v>
      </c>
      <c r="I219" s="18">
        <v>46133</v>
      </c>
      <c r="J219" s="6" t="s">
        <v>445</v>
      </c>
      <c r="K219" s="6" t="s">
        <v>110</v>
      </c>
      <c r="L219" s="6" t="s">
        <v>446</v>
      </c>
      <c r="M219" s="18">
        <f>Таблица1[[#This Row],[Дата окончания ]]-7</f>
        <v>46126</v>
      </c>
      <c r="N219" s="18">
        <f>Таблица1[[#This Row],[Дата окончания ]]-5</f>
        <v>46128</v>
      </c>
      <c r="O219" s="15">
        <f>Таблица1[[#This Row],[Дата окончания ]]-1</f>
        <v>46132</v>
      </c>
      <c r="P219" s="6" t="s">
        <v>398</v>
      </c>
    </row>
    <row r="220" spans="1:16" ht="62" x14ac:dyDescent="0.35">
      <c r="A220" s="29" t="s">
        <v>467</v>
      </c>
      <c r="B220" s="14" t="s">
        <v>187</v>
      </c>
      <c r="C220" s="6" t="s">
        <v>116</v>
      </c>
      <c r="D220" s="6" t="s">
        <v>115</v>
      </c>
      <c r="E220" s="6" t="s">
        <v>344</v>
      </c>
      <c r="F220" s="6" t="s">
        <v>399</v>
      </c>
      <c r="G220" s="22">
        <v>9195.27</v>
      </c>
      <c r="H220" s="15">
        <v>46063</v>
      </c>
      <c r="I220" s="18">
        <v>46133</v>
      </c>
      <c r="J220" s="6" t="s">
        <v>445</v>
      </c>
      <c r="K220" s="6" t="s">
        <v>110</v>
      </c>
      <c r="L220" s="6" t="s">
        <v>446</v>
      </c>
      <c r="M220" s="18">
        <f>Таблица1[[#This Row],[Дата окончания ]]-7</f>
        <v>46126</v>
      </c>
      <c r="N220" s="18">
        <f>Таблица1[[#This Row],[Дата окончания ]]-5</f>
        <v>46128</v>
      </c>
      <c r="O220" s="15">
        <f>Таблица1[[#This Row],[Дата окончания ]]-1</f>
        <v>46132</v>
      </c>
      <c r="P220" s="6" t="s">
        <v>478</v>
      </c>
    </row>
    <row r="221" spans="1:16" ht="31" x14ac:dyDescent="0.35">
      <c r="A221" s="12" t="s">
        <v>479</v>
      </c>
      <c r="B221" s="14" t="s">
        <v>502</v>
      </c>
      <c r="C221" s="6" t="s">
        <v>481</v>
      </c>
      <c r="D221" s="6" t="s">
        <v>480</v>
      </c>
      <c r="E221" s="6" t="s">
        <v>483</v>
      </c>
      <c r="F221" s="6" t="s">
        <v>484</v>
      </c>
      <c r="G221" s="22">
        <v>525.09</v>
      </c>
      <c r="H221" s="15">
        <v>46129</v>
      </c>
      <c r="I221" s="18">
        <v>46136</v>
      </c>
      <c r="J221" s="6" t="s">
        <v>482</v>
      </c>
      <c r="K221" s="6" t="s">
        <v>110</v>
      </c>
      <c r="L221" s="6" t="s">
        <v>486</v>
      </c>
      <c r="M221" s="18">
        <f>Таблица1[[#This Row],[Дата окончания ]]-7</f>
        <v>46129</v>
      </c>
      <c r="N221" s="18">
        <f>Таблица1[[#This Row],[Дата окончания ]]-5</f>
        <v>46131</v>
      </c>
      <c r="O221" s="15">
        <f>Таблица1[[#This Row],[Дата окончания ]]-1</f>
        <v>46135</v>
      </c>
      <c r="P221" s="6" t="s">
        <v>485</v>
      </c>
    </row>
    <row r="222" spans="1:16" ht="46.5" x14ac:dyDescent="0.35">
      <c r="A222" s="12" t="s">
        <v>479</v>
      </c>
      <c r="B222" s="14" t="s">
        <v>503</v>
      </c>
      <c r="C222" s="6" t="s">
        <v>481</v>
      </c>
      <c r="D222" s="6" t="s">
        <v>480</v>
      </c>
      <c r="E222" s="6" t="s">
        <v>487</v>
      </c>
      <c r="F222" s="6" t="s">
        <v>488</v>
      </c>
      <c r="G222" s="22">
        <v>3700.38</v>
      </c>
      <c r="H222" s="15">
        <v>46129</v>
      </c>
      <c r="I222" s="18">
        <v>46136</v>
      </c>
      <c r="J222" s="6" t="s">
        <v>489</v>
      </c>
      <c r="K222" s="6" t="s">
        <v>110</v>
      </c>
      <c r="L222" s="6" t="s">
        <v>491</v>
      </c>
      <c r="M222" s="18">
        <f>Таблица1[[#This Row],[Дата окончания ]]-7</f>
        <v>46129</v>
      </c>
      <c r="N222" s="18">
        <f>Таблица1[[#This Row],[Дата окончания ]]-5</f>
        <v>46131</v>
      </c>
      <c r="O222" s="15">
        <f>Таблица1[[#This Row],[Дата окончания ]]-1</f>
        <v>46135</v>
      </c>
      <c r="P222" s="6" t="s">
        <v>490</v>
      </c>
    </row>
    <row r="223" spans="1:16" ht="46.5" x14ac:dyDescent="0.35">
      <c r="A223" s="12" t="s">
        <v>479</v>
      </c>
      <c r="B223" s="14" t="s">
        <v>504</v>
      </c>
      <c r="C223" s="6" t="s">
        <v>481</v>
      </c>
      <c r="D223" s="6" t="s">
        <v>480</v>
      </c>
      <c r="E223" s="6" t="s">
        <v>493</v>
      </c>
      <c r="F223" s="6" t="s">
        <v>492</v>
      </c>
      <c r="G223" s="22">
        <v>1479.31</v>
      </c>
      <c r="H223" s="15">
        <v>46129</v>
      </c>
      <c r="I223" s="18">
        <v>46136</v>
      </c>
      <c r="J223" s="6" t="s">
        <v>501</v>
      </c>
      <c r="K223" s="6" t="s">
        <v>110</v>
      </c>
      <c r="L223" s="6" t="s">
        <v>495</v>
      </c>
      <c r="M223" s="18">
        <f>Таблица1[[#This Row],[Дата окончания ]]-7</f>
        <v>46129</v>
      </c>
      <c r="N223" s="18">
        <f>Таблица1[[#This Row],[Дата окончания ]]-5</f>
        <v>46131</v>
      </c>
      <c r="O223" s="15">
        <f>Таблица1[[#This Row],[Дата окончания ]]-1</f>
        <v>46135</v>
      </c>
      <c r="P223" s="6" t="s">
        <v>494</v>
      </c>
    </row>
    <row r="224" spans="1:16" ht="62" x14ac:dyDescent="0.35">
      <c r="A224" s="12" t="s">
        <v>479</v>
      </c>
      <c r="B224" s="14" t="s">
        <v>505</v>
      </c>
      <c r="C224" s="6" t="s">
        <v>481</v>
      </c>
      <c r="D224" s="6" t="s">
        <v>480</v>
      </c>
      <c r="E224" s="6" t="s">
        <v>496</v>
      </c>
      <c r="F224" s="6" t="s">
        <v>497</v>
      </c>
      <c r="G224" s="22">
        <v>8861.2000000000007</v>
      </c>
      <c r="H224" s="15">
        <v>46129</v>
      </c>
      <c r="I224" s="18">
        <v>46136</v>
      </c>
      <c r="J224" s="6" t="s">
        <v>498</v>
      </c>
      <c r="K224" s="6" t="s">
        <v>110</v>
      </c>
      <c r="L224" s="6" t="s">
        <v>500</v>
      </c>
      <c r="M224" s="18">
        <f>Таблица1[[#This Row],[Дата окончания ]]-7</f>
        <v>46129</v>
      </c>
      <c r="N224" s="18">
        <f>Таблица1[[#This Row],[Дата окончания ]]-5</f>
        <v>46131</v>
      </c>
      <c r="O224" s="15">
        <f>Таблица1[[#This Row],[Дата окончания ]]-1</f>
        <v>46135</v>
      </c>
      <c r="P224" s="6" t="s">
        <v>499</v>
      </c>
    </row>
    <row r="225" spans="1:16" ht="31" x14ac:dyDescent="0.35">
      <c r="A225" s="6" t="s">
        <v>167</v>
      </c>
      <c r="B225" s="14" t="s">
        <v>506</v>
      </c>
      <c r="C225" s="6" t="s">
        <v>96</v>
      </c>
      <c r="D225" s="6" t="s">
        <v>97</v>
      </c>
      <c r="E225" s="6" t="s">
        <v>168</v>
      </c>
      <c r="F225" s="6" t="s">
        <v>169</v>
      </c>
      <c r="G225" s="22">
        <v>7319.2</v>
      </c>
      <c r="H225" s="18">
        <v>46028</v>
      </c>
      <c r="I225" s="18">
        <v>46139</v>
      </c>
      <c r="J225" s="6" t="s">
        <v>172</v>
      </c>
      <c r="K225" s="6" t="s">
        <v>170</v>
      </c>
      <c r="L225" s="6" t="s">
        <v>102</v>
      </c>
      <c r="M225" s="18">
        <f>Таблица1[[#This Row],[Дата окончания ]]-7</f>
        <v>46132</v>
      </c>
      <c r="N225" s="18"/>
      <c r="O225" s="15">
        <f>Таблица1[[#This Row],[Дата окончания ]]-1</f>
        <v>46138</v>
      </c>
      <c r="P225" s="6" t="s">
        <v>507</v>
      </c>
    </row>
    <row r="226" spans="1:16" ht="31" x14ac:dyDescent="0.35">
      <c r="A226" s="6" t="s">
        <v>167</v>
      </c>
      <c r="B226" s="14" t="s">
        <v>508</v>
      </c>
      <c r="C226" s="6" t="s">
        <v>96</v>
      </c>
      <c r="D226" s="6" t="s">
        <v>97</v>
      </c>
      <c r="E226" s="6" t="s">
        <v>168</v>
      </c>
      <c r="F226" s="6" t="s">
        <v>169</v>
      </c>
      <c r="G226" s="22">
        <v>6085.4</v>
      </c>
      <c r="H226" s="18">
        <v>46028</v>
      </c>
      <c r="I226" s="18">
        <v>46139</v>
      </c>
      <c r="J226" s="6" t="s">
        <v>172</v>
      </c>
      <c r="K226" s="6" t="s">
        <v>170</v>
      </c>
      <c r="L226" s="6" t="s">
        <v>102</v>
      </c>
      <c r="M226" s="18">
        <f>Таблица1[[#This Row],[Дата окончания ]]-7</f>
        <v>46132</v>
      </c>
      <c r="N226" s="18"/>
      <c r="O226" s="15">
        <f>Таблица1[[#This Row],[Дата окончания ]]-1</f>
        <v>46138</v>
      </c>
      <c r="P226" s="6" t="s">
        <v>509</v>
      </c>
    </row>
    <row r="227" spans="1:16" ht="46.5" x14ac:dyDescent="0.35">
      <c r="A227" s="16" t="s">
        <v>381</v>
      </c>
      <c r="B227" s="14" t="s">
        <v>510</v>
      </c>
      <c r="C227" s="16" t="s">
        <v>387</v>
      </c>
      <c r="D227" s="16" t="s">
        <v>294</v>
      </c>
      <c r="E227" s="16" t="s">
        <v>383</v>
      </c>
      <c r="F227" s="16" t="s">
        <v>444</v>
      </c>
      <c r="G227" s="22">
        <v>12027.98</v>
      </c>
      <c r="H227" s="15">
        <v>46107</v>
      </c>
      <c r="I227" s="18">
        <v>46140</v>
      </c>
      <c r="J227" s="6" t="s">
        <v>445</v>
      </c>
      <c r="K227" s="6" t="s">
        <v>110</v>
      </c>
      <c r="L227" s="6" t="s">
        <v>446</v>
      </c>
      <c r="M227" s="18">
        <f>Таблица1[[#This Row],[Дата окончания ]]-7</f>
        <v>46133</v>
      </c>
      <c r="N227" s="18">
        <f>Таблица1[[#This Row],[Дата окончания ]]-5</f>
        <v>46135</v>
      </c>
      <c r="O227" s="15">
        <f>Таблица1[[#This Row],[Дата окончания ]]-1</f>
        <v>46139</v>
      </c>
      <c r="P227" s="6" t="s">
        <v>457</v>
      </c>
    </row>
    <row r="228" spans="1:16" ht="46.5" x14ac:dyDescent="0.35">
      <c r="A228" s="16" t="s">
        <v>381</v>
      </c>
      <c r="B228" s="14" t="s">
        <v>511</v>
      </c>
      <c r="C228" s="16" t="s">
        <v>387</v>
      </c>
      <c r="D228" s="16" t="s">
        <v>294</v>
      </c>
      <c r="E228" s="16" t="s">
        <v>383</v>
      </c>
      <c r="F228" s="16" t="s">
        <v>444</v>
      </c>
      <c r="G228" s="22">
        <v>12091.71</v>
      </c>
      <c r="H228" s="15">
        <v>46107</v>
      </c>
      <c r="I228" s="18">
        <v>46140</v>
      </c>
      <c r="J228" s="6" t="s">
        <v>445</v>
      </c>
      <c r="K228" s="6" t="s">
        <v>110</v>
      </c>
      <c r="L228" s="6" t="s">
        <v>446</v>
      </c>
      <c r="M228" s="18">
        <f>Таблица1[[#This Row],[Дата окончания ]]-7</f>
        <v>46133</v>
      </c>
      <c r="N228" s="18">
        <f>Таблица1[[#This Row],[Дата окончания ]]-5</f>
        <v>46135</v>
      </c>
      <c r="O228" s="15">
        <f>Таблица1[[#This Row],[Дата окончания ]]-1</f>
        <v>46139</v>
      </c>
      <c r="P228" s="6" t="s">
        <v>514</v>
      </c>
    </row>
    <row r="229" spans="1:16" ht="62" x14ac:dyDescent="0.35">
      <c r="A229" s="6" t="s">
        <v>512</v>
      </c>
      <c r="B229" s="14" t="s">
        <v>189</v>
      </c>
      <c r="C229" s="6" t="s">
        <v>116</v>
      </c>
      <c r="D229" s="6" t="s">
        <v>115</v>
      </c>
      <c r="E229" s="6" t="s">
        <v>344</v>
      </c>
      <c r="F229" s="6" t="s">
        <v>399</v>
      </c>
      <c r="G229" s="22">
        <v>10178.75</v>
      </c>
      <c r="H229" s="15">
        <v>46063</v>
      </c>
      <c r="I229" s="18">
        <v>46140</v>
      </c>
      <c r="J229" s="6" t="s">
        <v>445</v>
      </c>
      <c r="K229" s="6" t="s">
        <v>110</v>
      </c>
      <c r="L229" s="6" t="s">
        <v>446</v>
      </c>
      <c r="M229" s="18">
        <f>Таблица1[[#This Row],[Дата окончания ]]-7</f>
        <v>46133</v>
      </c>
      <c r="N229" s="18">
        <f>Таблица1[[#This Row],[Дата окончания ]]-5</f>
        <v>46135</v>
      </c>
      <c r="O229" s="15">
        <f>Таблица1[[#This Row],[Дата окончания ]]-1</f>
        <v>46139</v>
      </c>
      <c r="P229" s="6" t="s">
        <v>513</v>
      </c>
    </row>
    <row r="230" spans="1:16" ht="46.5" x14ac:dyDescent="0.35">
      <c r="A230" s="16" t="s">
        <v>381</v>
      </c>
      <c r="B230" s="14" t="s">
        <v>515</v>
      </c>
      <c r="C230" s="16" t="s">
        <v>387</v>
      </c>
      <c r="D230" s="16" t="s">
        <v>294</v>
      </c>
      <c r="E230" s="16" t="s">
        <v>383</v>
      </c>
      <c r="F230" s="16" t="s">
        <v>444</v>
      </c>
      <c r="G230" s="22">
        <v>12652.490000000007</v>
      </c>
      <c r="H230" s="15">
        <v>46107</v>
      </c>
      <c r="I230" s="18">
        <v>46141</v>
      </c>
      <c r="J230" s="6" t="s">
        <v>445</v>
      </c>
      <c r="K230" s="6" t="s">
        <v>110</v>
      </c>
      <c r="L230" s="6" t="s">
        <v>446</v>
      </c>
      <c r="M230" s="18">
        <f>Таблица1[[#This Row],[Дата окончания ]]-7</f>
        <v>46134</v>
      </c>
      <c r="N230" s="18">
        <f>Таблица1[[#This Row],[Дата окончания ]]-5</f>
        <v>46136</v>
      </c>
      <c r="O230" s="15">
        <f>Таблица1[[#This Row],[Дата окончания ]]-1</f>
        <v>46140</v>
      </c>
      <c r="P230" s="6" t="s">
        <v>516</v>
      </c>
    </row>
    <row r="231" spans="1:16" ht="46.5" x14ac:dyDescent="0.35">
      <c r="A231" s="16" t="s">
        <v>381</v>
      </c>
      <c r="B231" s="14" t="s">
        <v>517</v>
      </c>
      <c r="C231" s="16" t="s">
        <v>387</v>
      </c>
      <c r="D231" s="16" t="s">
        <v>294</v>
      </c>
      <c r="E231" s="16" t="s">
        <v>383</v>
      </c>
      <c r="F231" s="16" t="s">
        <v>444</v>
      </c>
      <c r="G231" s="22">
        <v>11879.98</v>
      </c>
      <c r="H231" s="15">
        <v>46107</v>
      </c>
      <c r="I231" s="18">
        <v>46146</v>
      </c>
      <c r="J231" s="6" t="s">
        <v>445</v>
      </c>
      <c r="K231" s="6" t="s">
        <v>110</v>
      </c>
      <c r="L231" s="6" t="s">
        <v>446</v>
      </c>
      <c r="M231" s="18">
        <f>Таблица1[[#This Row],[Дата окончания ]]-7</f>
        <v>46139</v>
      </c>
      <c r="N231" s="18">
        <f>Таблица1[[#This Row],[Дата окончания ]]-5</f>
        <v>46141</v>
      </c>
      <c r="O231" s="15">
        <f>Таблица1[[#This Row],[Дата окончания ]]-1</f>
        <v>46145</v>
      </c>
      <c r="P231" s="6" t="s">
        <v>518</v>
      </c>
    </row>
    <row r="232" spans="1:16" ht="46.5" x14ac:dyDescent="0.35">
      <c r="A232" s="16" t="s">
        <v>381</v>
      </c>
      <c r="B232" s="14" t="s">
        <v>519</v>
      </c>
      <c r="C232" s="16" t="s">
        <v>387</v>
      </c>
      <c r="D232" s="16" t="s">
        <v>294</v>
      </c>
      <c r="E232" s="16" t="s">
        <v>383</v>
      </c>
      <c r="F232" s="16" t="s">
        <v>444</v>
      </c>
      <c r="G232" s="22">
        <v>11601.56</v>
      </c>
      <c r="H232" s="15">
        <v>46107</v>
      </c>
      <c r="I232" s="18">
        <v>46146</v>
      </c>
      <c r="J232" s="6" t="s">
        <v>445</v>
      </c>
      <c r="K232" s="6" t="s">
        <v>110</v>
      </c>
      <c r="L232" s="6" t="s">
        <v>446</v>
      </c>
      <c r="M232" s="18">
        <f>Таблица1[[#This Row],[Дата окончания ]]-7</f>
        <v>46139</v>
      </c>
      <c r="N232" s="18">
        <f>Таблица1[[#This Row],[Дата окончания ]]-5</f>
        <v>46141</v>
      </c>
      <c r="O232" s="15">
        <f>Таблица1[[#This Row],[Дата окончания ]]-1</f>
        <v>46145</v>
      </c>
      <c r="P232" s="6" t="s">
        <v>520</v>
      </c>
    </row>
    <row r="233" spans="1:16" ht="46.5" x14ac:dyDescent="0.35">
      <c r="A233" s="16" t="s">
        <v>381</v>
      </c>
      <c r="B233" s="14" t="s">
        <v>521</v>
      </c>
      <c r="C233" s="16" t="s">
        <v>387</v>
      </c>
      <c r="D233" s="16" t="s">
        <v>294</v>
      </c>
      <c r="E233" s="16" t="s">
        <v>383</v>
      </c>
      <c r="F233" s="16" t="s">
        <v>444</v>
      </c>
      <c r="G233" s="22">
        <v>12177.929999999998</v>
      </c>
      <c r="H233" s="15">
        <v>46107</v>
      </c>
      <c r="I233" s="18">
        <v>46147</v>
      </c>
      <c r="J233" s="6" t="s">
        <v>445</v>
      </c>
      <c r="K233" s="6" t="s">
        <v>110</v>
      </c>
      <c r="L233" s="6" t="s">
        <v>446</v>
      </c>
      <c r="M233" s="18">
        <f>Таблица1[[#This Row],[Дата окончания ]]-7</f>
        <v>46140</v>
      </c>
      <c r="N233" s="18">
        <f>Таблица1[[#This Row],[Дата окончания ]]-5</f>
        <v>46142</v>
      </c>
      <c r="O233" s="15">
        <f>Таблица1[[#This Row],[Дата окончания ]]-1</f>
        <v>46146</v>
      </c>
      <c r="P233" s="6" t="s">
        <v>464</v>
      </c>
    </row>
    <row r="234" spans="1:16" ht="46.5" x14ac:dyDescent="0.35">
      <c r="A234" s="16" t="s">
        <v>381</v>
      </c>
      <c r="B234" s="14" t="s">
        <v>522</v>
      </c>
      <c r="C234" s="16" t="s">
        <v>387</v>
      </c>
      <c r="D234" s="16" t="s">
        <v>294</v>
      </c>
      <c r="E234" s="16" t="s">
        <v>383</v>
      </c>
      <c r="F234" s="16" t="s">
        <v>444</v>
      </c>
      <c r="G234" s="22">
        <v>12079.890000000001</v>
      </c>
      <c r="H234" s="15">
        <v>46107</v>
      </c>
      <c r="I234" s="18">
        <v>46147</v>
      </c>
      <c r="J234" s="6" t="s">
        <v>445</v>
      </c>
      <c r="K234" s="6" t="s">
        <v>110</v>
      </c>
      <c r="L234" s="6" t="s">
        <v>446</v>
      </c>
      <c r="M234" s="18">
        <f>Таблица1[[#This Row],[Дата окончания ]]-7</f>
        <v>46140</v>
      </c>
      <c r="N234" s="18">
        <f>Таблица1[[#This Row],[Дата окончания ]]-5</f>
        <v>46142</v>
      </c>
      <c r="O234" s="15">
        <f>Таблица1[[#This Row],[Дата окончания ]]-1</f>
        <v>46146</v>
      </c>
      <c r="P234" s="6" t="s">
        <v>379</v>
      </c>
    </row>
    <row r="235" spans="1:16" ht="46.5" x14ac:dyDescent="0.35">
      <c r="A235" s="16" t="s">
        <v>381</v>
      </c>
      <c r="B235" s="14" t="s">
        <v>523</v>
      </c>
      <c r="C235" s="16" t="s">
        <v>387</v>
      </c>
      <c r="D235" s="16" t="s">
        <v>294</v>
      </c>
      <c r="E235" s="16" t="s">
        <v>383</v>
      </c>
      <c r="F235" s="16" t="s">
        <v>444</v>
      </c>
      <c r="G235" s="22">
        <v>10739.589999999995</v>
      </c>
      <c r="H235" s="15">
        <v>46107</v>
      </c>
      <c r="I235" s="18">
        <v>46147</v>
      </c>
      <c r="J235" s="6" t="s">
        <v>445</v>
      </c>
      <c r="K235" s="6" t="s">
        <v>110</v>
      </c>
      <c r="L235" s="6" t="s">
        <v>446</v>
      </c>
      <c r="M235" s="18">
        <f>Таблица1[[#This Row],[Дата окончания ]]-7</f>
        <v>46140</v>
      </c>
      <c r="N235" s="18">
        <f>Таблица1[[#This Row],[Дата окончания ]]-5</f>
        <v>46142</v>
      </c>
      <c r="O235" s="15">
        <f>Таблица1[[#This Row],[Дата окончания ]]-1</f>
        <v>46146</v>
      </c>
      <c r="P235" s="6" t="s">
        <v>398</v>
      </c>
    </row>
    <row r="236" spans="1:16" ht="46.5" x14ac:dyDescent="0.35">
      <c r="A236" s="6" t="s">
        <v>380</v>
      </c>
      <c r="B236" s="35" t="s">
        <v>524</v>
      </c>
      <c r="C236" s="6" t="s">
        <v>382</v>
      </c>
      <c r="D236" s="6" t="s">
        <v>294</v>
      </c>
      <c r="E236" s="6" t="s">
        <v>383</v>
      </c>
      <c r="F236" s="6" t="s">
        <v>384</v>
      </c>
      <c r="G236" s="22">
        <v>1469.2</v>
      </c>
      <c r="H236" s="15">
        <v>46094</v>
      </c>
      <c r="I236" s="18">
        <v>46147</v>
      </c>
      <c r="J236" s="6" t="s">
        <v>386</v>
      </c>
      <c r="K236" s="6" t="s">
        <v>110</v>
      </c>
      <c r="L236" s="6" t="s">
        <v>385</v>
      </c>
      <c r="M236" s="18">
        <f>Таблица1[[#This Row],[Дата окончания ]]-7</f>
        <v>46140</v>
      </c>
      <c r="N236" s="18"/>
      <c r="O236" s="15">
        <f>Таблица1[[#This Row],[Дата окончания ]]-1</f>
        <v>46146</v>
      </c>
      <c r="P236" s="6" t="s">
        <v>525</v>
      </c>
    </row>
    <row r="237" spans="1:16" ht="62" x14ac:dyDescent="0.35">
      <c r="A237" s="29" t="s">
        <v>512</v>
      </c>
      <c r="B237" s="14" t="s">
        <v>190</v>
      </c>
      <c r="C237" s="6" t="s">
        <v>116</v>
      </c>
      <c r="D237" s="6" t="s">
        <v>115</v>
      </c>
      <c r="E237" s="6" t="s">
        <v>344</v>
      </c>
      <c r="F237" s="6" t="s">
        <v>399</v>
      </c>
      <c r="G237" s="22">
        <v>13253.74</v>
      </c>
      <c r="H237" s="15">
        <v>46063</v>
      </c>
      <c r="I237" s="18">
        <v>46147</v>
      </c>
      <c r="J237" s="6" t="s">
        <v>445</v>
      </c>
      <c r="K237" s="6" t="s">
        <v>110</v>
      </c>
      <c r="L237" s="6" t="s">
        <v>446</v>
      </c>
      <c r="M237" s="18">
        <f>Таблица1[[#This Row],[Дата окончания ]]-7</f>
        <v>46140</v>
      </c>
      <c r="N237" s="18">
        <f>Таблица1[[#This Row],[Дата окончания ]]-5</f>
        <v>46142</v>
      </c>
      <c r="O237" s="15">
        <f>Таблица1[[#This Row],[Дата окончания ]]-1</f>
        <v>46146</v>
      </c>
      <c r="P237" s="6" t="s">
        <v>526</v>
      </c>
    </row>
    <row r="238" spans="1:16" ht="46.5" x14ac:dyDescent="0.35">
      <c r="A238" s="16" t="s">
        <v>381</v>
      </c>
      <c r="B238" s="14" t="s">
        <v>527</v>
      </c>
      <c r="C238" s="16" t="s">
        <v>387</v>
      </c>
      <c r="D238" s="16" t="s">
        <v>294</v>
      </c>
      <c r="E238" s="16" t="s">
        <v>383</v>
      </c>
      <c r="F238" s="16" t="s">
        <v>444</v>
      </c>
      <c r="G238" s="22">
        <v>12496.95</v>
      </c>
      <c r="H238" s="15">
        <v>46107</v>
      </c>
      <c r="I238" s="18">
        <v>46148</v>
      </c>
      <c r="J238" s="6" t="s">
        <v>445</v>
      </c>
      <c r="K238" s="6" t="s">
        <v>110</v>
      </c>
      <c r="L238" s="6" t="s">
        <v>446</v>
      </c>
      <c r="M238" s="18">
        <f>Таблица1[[#This Row],[Дата окончания ]]-7</f>
        <v>46141</v>
      </c>
      <c r="N238" s="18">
        <f>Таблица1[[#This Row],[Дата окончания ]]-5</f>
        <v>46143</v>
      </c>
      <c r="O238" s="15">
        <f>Таблица1[[#This Row],[Дата окончания ]]-1</f>
        <v>46147</v>
      </c>
      <c r="P238" s="6" t="s">
        <v>528</v>
      </c>
    </row>
    <row r="239" spans="1:16" ht="46.5" x14ac:dyDescent="0.35">
      <c r="A239" s="16" t="s">
        <v>381</v>
      </c>
      <c r="B239" s="14" t="s">
        <v>529</v>
      </c>
      <c r="C239" s="16" t="s">
        <v>387</v>
      </c>
      <c r="D239" s="16" t="s">
        <v>294</v>
      </c>
      <c r="E239" s="16" t="s">
        <v>383</v>
      </c>
      <c r="F239" s="16" t="s">
        <v>444</v>
      </c>
      <c r="G239" s="22">
        <v>12409.09</v>
      </c>
      <c r="H239" s="15">
        <v>46107</v>
      </c>
      <c r="I239" s="18">
        <v>46148</v>
      </c>
      <c r="J239" s="6" t="s">
        <v>445</v>
      </c>
      <c r="K239" s="6" t="s">
        <v>110</v>
      </c>
      <c r="L239" s="6" t="s">
        <v>446</v>
      </c>
      <c r="M239" s="18">
        <f>Таблица1[[#This Row],[Дата окончания ]]-7</f>
        <v>46141</v>
      </c>
      <c r="N239" s="18">
        <f>Таблица1[[#This Row],[Дата окончания ]]-5</f>
        <v>46143</v>
      </c>
      <c r="O239" s="15">
        <f>Таблица1[[#This Row],[Дата окончания ]]-1</f>
        <v>46147</v>
      </c>
      <c r="P239" s="6" t="s">
        <v>530</v>
      </c>
    </row>
    <row r="240" spans="1:16" ht="62" x14ac:dyDescent="0.35">
      <c r="A240" s="29" t="s">
        <v>512</v>
      </c>
      <c r="B240" s="14" t="s">
        <v>218</v>
      </c>
      <c r="C240" s="6" t="s">
        <v>116</v>
      </c>
      <c r="D240" s="6" t="s">
        <v>115</v>
      </c>
      <c r="E240" s="6" t="s">
        <v>344</v>
      </c>
      <c r="F240" s="6" t="s">
        <v>399</v>
      </c>
      <c r="G240" s="22">
        <v>12470.48</v>
      </c>
      <c r="H240" s="15">
        <v>46063</v>
      </c>
      <c r="I240" s="18">
        <v>46148</v>
      </c>
      <c r="J240" s="6" t="s">
        <v>445</v>
      </c>
      <c r="K240" s="6" t="s">
        <v>110</v>
      </c>
      <c r="L240" s="6" t="s">
        <v>446</v>
      </c>
      <c r="M240" s="18">
        <f>Таблица1[[#This Row],[Дата окончания ]]-7</f>
        <v>46141</v>
      </c>
      <c r="N240" s="18">
        <f>Таблица1[[#This Row],[Дата окончания ]]-5</f>
        <v>46143</v>
      </c>
      <c r="O240" s="15">
        <f>Таблица1[[#This Row],[Дата окончания ]]-1</f>
        <v>46147</v>
      </c>
      <c r="P240" s="6" t="s">
        <v>531</v>
      </c>
    </row>
    <row r="241" spans="1:17" ht="46.5" x14ac:dyDescent="0.35">
      <c r="A241" s="16" t="s">
        <v>381</v>
      </c>
      <c r="B241" s="14" t="s">
        <v>532</v>
      </c>
      <c r="C241" s="16" t="s">
        <v>387</v>
      </c>
      <c r="D241" s="16" t="s">
        <v>294</v>
      </c>
      <c r="E241" s="16" t="s">
        <v>383</v>
      </c>
      <c r="F241" s="16" t="s">
        <v>444</v>
      </c>
      <c r="G241" s="22">
        <v>12416.4</v>
      </c>
      <c r="H241" s="15">
        <v>46107</v>
      </c>
      <c r="I241" s="18">
        <v>46149</v>
      </c>
      <c r="J241" s="6" t="s">
        <v>445</v>
      </c>
      <c r="K241" s="6" t="s">
        <v>110</v>
      </c>
      <c r="L241" s="6" t="s">
        <v>446</v>
      </c>
      <c r="M241" s="18">
        <f>Таблица1[[#This Row],[Дата окончания ]]-7</f>
        <v>46142</v>
      </c>
      <c r="N241" s="18">
        <f>Таблица1[[#This Row],[Дата окончания ]]-5</f>
        <v>46144</v>
      </c>
      <c r="O241" s="15">
        <f>Таблица1[[#This Row],[Дата окончания ]]-1</f>
        <v>46148</v>
      </c>
      <c r="P241" s="6" t="s">
        <v>533</v>
      </c>
    </row>
    <row r="242" spans="1:17" ht="46.5" x14ac:dyDescent="0.35">
      <c r="A242" s="16" t="s">
        <v>381</v>
      </c>
      <c r="B242" s="14" t="s">
        <v>534</v>
      </c>
      <c r="C242" s="16" t="s">
        <v>387</v>
      </c>
      <c r="D242" s="16" t="s">
        <v>294</v>
      </c>
      <c r="E242" s="16" t="s">
        <v>383</v>
      </c>
      <c r="F242" s="16" t="s">
        <v>444</v>
      </c>
      <c r="G242" s="22">
        <v>11836.82</v>
      </c>
      <c r="H242" s="15">
        <v>46107</v>
      </c>
      <c r="I242" s="18">
        <v>46149</v>
      </c>
      <c r="J242" s="6" t="s">
        <v>445</v>
      </c>
      <c r="K242" s="6" t="s">
        <v>110</v>
      </c>
      <c r="L242" s="6" t="s">
        <v>446</v>
      </c>
      <c r="M242" s="18">
        <f>Таблица1[[#This Row],[Дата окончания ]]-7</f>
        <v>46142</v>
      </c>
      <c r="N242" s="18">
        <f>Таблица1[[#This Row],[Дата окончания ]]-5</f>
        <v>46144</v>
      </c>
      <c r="O242" s="15">
        <f>Таблица1[[#This Row],[Дата окончания ]]-1</f>
        <v>46148</v>
      </c>
      <c r="P242" s="6" t="s">
        <v>535</v>
      </c>
    </row>
    <row r="243" spans="1:17" ht="62" x14ac:dyDescent="0.35">
      <c r="A243" s="29" t="s">
        <v>512</v>
      </c>
      <c r="B243" s="14" t="s">
        <v>225</v>
      </c>
      <c r="C243" s="6" t="s">
        <v>116</v>
      </c>
      <c r="D243" s="6" t="s">
        <v>115</v>
      </c>
      <c r="E243" s="6" t="s">
        <v>344</v>
      </c>
      <c r="F243" s="6" t="s">
        <v>399</v>
      </c>
      <c r="G243" s="22">
        <v>6771.3600000000006</v>
      </c>
      <c r="H243" s="15">
        <v>46063</v>
      </c>
      <c r="I243" s="18">
        <v>46149</v>
      </c>
      <c r="J243" s="6" t="s">
        <v>445</v>
      </c>
      <c r="K243" s="6" t="s">
        <v>110</v>
      </c>
      <c r="L243" s="6" t="s">
        <v>446</v>
      </c>
      <c r="M243" s="18">
        <f>Таблица1[[#This Row],[Дата окончания ]]-7</f>
        <v>46142</v>
      </c>
      <c r="N243" s="18">
        <f>Таблица1[[#This Row],[Дата окончания ]]-5</f>
        <v>46144</v>
      </c>
      <c r="O243" s="15">
        <f>Таблица1[[#This Row],[Дата окончания ]]-1</f>
        <v>46148</v>
      </c>
      <c r="P243" s="6" t="s">
        <v>375</v>
      </c>
      <c r="Q243" s="13" t="s">
        <v>257</v>
      </c>
    </row>
    <row r="244" spans="1:17" ht="62" x14ac:dyDescent="0.35">
      <c r="A244" s="29" t="s">
        <v>512</v>
      </c>
      <c r="B244" s="14" t="s">
        <v>228</v>
      </c>
      <c r="C244" s="6" t="s">
        <v>116</v>
      </c>
      <c r="D244" s="6" t="s">
        <v>115</v>
      </c>
      <c r="E244" s="6" t="s">
        <v>344</v>
      </c>
      <c r="F244" s="6" t="s">
        <v>399</v>
      </c>
      <c r="G244" s="22">
        <v>15635.019999999999</v>
      </c>
      <c r="H244" s="15">
        <v>46063</v>
      </c>
      <c r="I244" s="18">
        <v>46154</v>
      </c>
      <c r="J244" s="6" t="s">
        <v>445</v>
      </c>
      <c r="K244" s="6" t="s">
        <v>110</v>
      </c>
      <c r="L244" s="6" t="s">
        <v>446</v>
      </c>
      <c r="M244" s="18">
        <f>Таблица1[[#This Row],[Дата окончания ]]-7</f>
        <v>46147</v>
      </c>
      <c r="N244" s="18">
        <f>Таблица1[[#This Row],[Дата окончания ]]-5</f>
        <v>46149</v>
      </c>
      <c r="O244" s="15">
        <f>Таблица1[[#This Row],[Дата окончания ]]-1</f>
        <v>46153</v>
      </c>
      <c r="P244" s="6" t="s">
        <v>536</v>
      </c>
    </row>
    <row r="245" spans="1:17" ht="62" x14ac:dyDescent="0.35">
      <c r="A245" s="29" t="s">
        <v>512</v>
      </c>
      <c r="B245" s="14" t="s">
        <v>230</v>
      </c>
      <c r="C245" s="6" t="s">
        <v>116</v>
      </c>
      <c r="D245" s="6" t="s">
        <v>115</v>
      </c>
      <c r="E245" s="6" t="s">
        <v>344</v>
      </c>
      <c r="F245" s="6" t="s">
        <v>399</v>
      </c>
      <c r="G245" s="22">
        <v>9196.0799999999981</v>
      </c>
      <c r="H245" s="15">
        <v>46063</v>
      </c>
      <c r="I245" s="18">
        <v>46155</v>
      </c>
      <c r="J245" s="6" t="s">
        <v>445</v>
      </c>
      <c r="K245" s="6" t="s">
        <v>110</v>
      </c>
      <c r="L245" s="6" t="s">
        <v>446</v>
      </c>
      <c r="M245" s="18">
        <f>Таблица1[[#This Row],[Дата окончания ]]-7</f>
        <v>46148</v>
      </c>
      <c r="N245" s="18">
        <f>Таблица1[[#This Row],[Дата окончания ]]-5</f>
        <v>46150</v>
      </c>
      <c r="O245" s="15">
        <f>Таблица1[[#This Row],[Дата окончания ]]-1</f>
        <v>46154</v>
      </c>
      <c r="P245" s="6" t="s">
        <v>537</v>
      </c>
    </row>
    <row r="246" spans="1:17" ht="46.5" x14ac:dyDescent="0.35">
      <c r="A246" s="16" t="s">
        <v>381</v>
      </c>
      <c r="B246" s="14" t="s">
        <v>538</v>
      </c>
      <c r="C246" s="16" t="s">
        <v>387</v>
      </c>
      <c r="D246" s="16" t="s">
        <v>294</v>
      </c>
      <c r="E246" s="16" t="s">
        <v>383</v>
      </c>
      <c r="F246" s="16" t="s">
        <v>444</v>
      </c>
      <c r="G246" s="22">
        <v>16480.810000000001</v>
      </c>
      <c r="H246" s="15">
        <v>46107</v>
      </c>
      <c r="I246" s="18">
        <v>46156</v>
      </c>
      <c r="J246" s="6" t="s">
        <v>445</v>
      </c>
      <c r="K246" s="6" t="s">
        <v>110</v>
      </c>
      <c r="L246" s="6" t="s">
        <v>446</v>
      </c>
      <c r="M246" s="18">
        <f>Таблица1[[#This Row],[Дата окончания ]]-7</f>
        <v>46149</v>
      </c>
      <c r="N246" s="18">
        <f>Таблица1[[#This Row],[Дата окончания ]]-5</f>
        <v>46151</v>
      </c>
      <c r="O246" s="15">
        <f>Таблица1[[#This Row],[Дата окончания ]]-1</f>
        <v>46155</v>
      </c>
      <c r="P246" s="6" t="s">
        <v>539</v>
      </c>
    </row>
    <row r="247" spans="1:17" ht="62" x14ac:dyDescent="0.35">
      <c r="A247" s="29" t="s">
        <v>512</v>
      </c>
      <c r="B247" s="14" t="s">
        <v>240</v>
      </c>
      <c r="C247" s="6" t="s">
        <v>116</v>
      </c>
      <c r="D247" s="6" t="s">
        <v>115</v>
      </c>
      <c r="E247" s="6" t="s">
        <v>344</v>
      </c>
      <c r="F247" s="6" t="s">
        <v>399</v>
      </c>
      <c r="G247" s="22">
        <v>13450.059999999996</v>
      </c>
      <c r="H247" s="15">
        <v>46063</v>
      </c>
      <c r="I247" s="18">
        <v>46156</v>
      </c>
      <c r="J247" s="6" t="s">
        <v>445</v>
      </c>
      <c r="K247" s="6" t="s">
        <v>110</v>
      </c>
      <c r="L247" s="6" t="s">
        <v>446</v>
      </c>
      <c r="M247" s="18">
        <f>Таблица1[[#This Row],[Дата окончания ]]-7</f>
        <v>46149</v>
      </c>
      <c r="N247" s="18">
        <f>Таблица1[[#This Row],[Дата окончания ]]-5</f>
        <v>46151</v>
      </c>
      <c r="O247" s="15">
        <f>Таблица1[[#This Row],[Дата окончания ]]-1</f>
        <v>46155</v>
      </c>
      <c r="P247" s="6" t="s">
        <v>540</v>
      </c>
    </row>
    <row r="248" spans="1:17" ht="62" x14ac:dyDescent="0.35">
      <c r="A248" s="29" t="s">
        <v>512</v>
      </c>
      <c r="B248" s="14" t="s">
        <v>243</v>
      </c>
      <c r="C248" s="6" t="s">
        <v>116</v>
      </c>
      <c r="D248" s="6" t="s">
        <v>115</v>
      </c>
      <c r="E248" s="6" t="s">
        <v>344</v>
      </c>
      <c r="F248" s="6" t="s">
        <v>399</v>
      </c>
      <c r="G248" s="22">
        <v>10288.710000000001</v>
      </c>
      <c r="H248" s="15">
        <v>46063</v>
      </c>
      <c r="I248" s="18">
        <v>46156</v>
      </c>
      <c r="J248" s="6" t="s">
        <v>445</v>
      </c>
      <c r="K248" s="6" t="s">
        <v>110</v>
      </c>
      <c r="L248" s="6" t="s">
        <v>446</v>
      </c>
      <c r="M248" s="18">
        <f>Таблица1[[#This Row],[Дата окончания ]]-7</f>
        <v>46149</v>
      </c>
      <c r="N248" s="18">
        <f>Таблица1[[#This Row],[Дата окончания ]]-5</f>
        <v>46151</v>
      </c>
      <c r="O248" s="15">
        <f>Таблица1[[#This Row],[Дата окончания ]]-1</f>
        <v>46155</v>
      </c>
      <c r="P248" s="6" t="s">
        <v>541</v>
      </c>
    </row>
    <row r="249" spans="1:17" ht="62" x14ac:dyDescent="0.35">
      <c r="A249" s="29" t="s">
        <v>512</v>
      </c>
      <c r="B249" s="14" t="s">
        <v>246</v>
      </c>
      <c r="C249" s="6" t="s">
        <v>116</v>
      </c>
      <c r="D249" s="6" t="s">
        <v>115</v>
      </c>
      <c r="E249" s="6" t="s">
        <v>344</v>
      </c>
      <c r="F249" s="6" t="s">
        <v>399</v>
      </c>
      <c r="G249" s="22">
        <v>10120.84</v>
      </c>
      <c r="H249" s="15">
        <v>46063</v>
      </c>
      <c r="I249" s="18">
        <v>46157</v>
      </c>
      <c r="J249" s="6" t="s">
        <v>445</v>
      </c>
      <c r="K249" s="6" t="s">
        <v>110</v>
      </c>
      <c r="L249" s="6" t="s">
        <v>446</v>
      </c>
      <c r="M249" s="18">
        <f>Таблица1[[#This Row],[Дата окончания ]]-7</f>
        <v>46150</v>
      </c>
      <c r="N249" s="18">
        <f>Таблица1[[#This Row],[Дата окончания ]]-5</f>
        <v>46152</v>
      </c>
      <c r="O249" s="15">
        <f>Таблица1[[#This Row],[Дата окончания ]]-1</f>
        <v>46156</v>
      </c>
      <c r="P249" s="6" t="s">
        <v>342</v>
      </c>
    </row>
    <row r="250" spans="1:17" ht="62" x14ac:dyDescent="0.35">
      <c r="A250" s="29" t="s">
        <v>512</v>
      </c>
      <c r="B250" s="14" t="s">
        <v>250</v>
      </c>
      <c r="C250" s="6" t="s">
        <v>116</v>
      </c>
      <c r="D250" s="6" t="s">
        <v>115</v>
      </c>
      <c r="E250" s="6" t="s">
        <v>344</v>
      </c>
      <c r="F250" s="6" t="s">
        <v>399</v>
      </c>
      <c r="G250" s="22">
        <v>13298.97</v>
      </c>
      <c r="H250" s="15">
        <v>46063</v>
      </c>
      <c r="I250" s="18">
        <v>46157</v>
      </c>
      <c r="J250" s="6" t="s">
        <v>445</v>
      </c>
      <c r="K250" s="6" t="s">
        <v>110</v>
      </c>
      <c r="L250" s="6" t="s">
        <v>446</v>
      </c>
      <c r="M250" s="18">
        <f>Таблица1[[#This Row],[Дата окончания ]]-7</f>
        <v>46150</v>
      </c>
      <c r="N250" s="18">
        <f>Таблица1[[#This Row],[Дата окончания ]]-5</f>
        <v>46152</v>
      </c>
      <c r="O250" s="15">
        <f>Таблица1[[#This Row],[Дата окончания ]]-1</f>
        <v>46156</v>
      </c>
      <c r="P250" s="6" t="s">
        <v>542</v>
      </c>
    </row>
    <row r="251" spans="1:17" ht="62" x14ac:dyDescent="0.35">
      <c r="A251" s="6"/>
      <c r="B251" s="14" t="s">
        <v>157</v>
      </c>
      <c r="C251" s="6" t="s">
        <v>543</v>
      </c>
      <c r="D251" s="6" t="s">
        <v>549</v>
      </c>
      <c r="E251" s="6" t="s">
        <v>544</v>
      </c>
      <c r="F251" s="6" t="s">
        <v>545</v>
      </c>
      <c r="G251" s="22">
        <v>6582.51</v>
      </c>
      <c r="H251" s="18">
        <v>46158</v>
      </c>
      <c r="I251" s="18">
        <v>46159</v>
      </c>
      <c r="J251" s="6" t="s">
        <v>546</v>
      </c>
      <c r="K251" s="6" t="s">
        <v>110</v>
      </c>
      <c r="L251" s="6" t="s">
        <v>547</v>
      </c>
      <c r="M251" s="18">
        <f>Таблица1[[#This Row],[Дата окончания ]]-7</f>
        <v>46152</v>
      </c>
      <c r="N251" s="18">
        <f>Таблица1[[#This Row],[Дата окончания ]]-5</f>
        <v>46154</v>
      </c>
      <c r="O251" s="15">
        <f>Таблица1[[#This Row],[Дата окончания ]]-1</f>
        <v>46158</v>
      </c>
      <c r="P251" s="6" t="s">
        <v>548</v>
      </c>
    </row>
    <row r="252" spans="1:17" ht="62" x14ac:dyDescent="0.35">
      <c r="A252" s="29" t="s">
        <v>512</v>
      </c>
      <c r="B252" s="14" t="s">
        <v>253</v>
      </c>
      <c r="C252" s="6" t="s">
        <v>116</v>
      </c>
      <c r="D252" s="6" t="s">
        <v>115</v>
      </c>
      <c r="E252" s="6" t="s">
        <v>344</v>
      </c>
      <c r="F252" s="6" t="s">
        <v>399</v>
      </c>
      <c r="G252" s="22">
        <v>17125.669999999998</v>
      </c>
      <c r="H252" s="15">
        <v>46063</v>
      </c>
      <c r="I252" s="18">
        <v>46160</v>
      </c>
      <c r="J252" s="6" t="s">
        <v>445</v>
      </c>
      <c r="K252" s="6" t="s">
        <v>110</v>
      </c>
      <c r="L252" s="6" t="s">
        <v>446</v>
      </c>
      <c r="M252" s="18">
        <f>Таблица1[[#This Row],[Дата окончания ]]-7</f>
        <v>46153</v>
      </c>
      <c r="N252" s="18">
        <f>Таблица1[[#This Row],[Дата окончания ]]-5</f>
        <v>46155</v>
      </c>
      <c r="O252" s="15">
        <f>Таблица1[[#This Row],[Дата окончания ]]-1</f>
        <v>46159</v>
      </c>
      <c r="P252" s="6" t="s">
        <v>550</v>
      </c>
    </row>
    <row r="253" spans="1:17" ht="62" x14ac:dyDescent="0.35">
      <c r="A253" s="29" t="s">
        <v>512</v>
      </c>
      <c r="B253" s="14" t="s">
        <v>255</v>
      </c>
      <c r="C253" s="6" t="s">
        <v>116</v>
      </c>
      <c r="D253" s="6" t="s">
        <v>115</v>
      </c>
      <c r="E253" s="6" t="s">
        <v>344</v>
      </c>
      <c r="F253" s="6" t="s">
        <v>399</v>
      </c>
      <c r="G253" s="22">
        <v>14414.280000000004</v>
      </c>
      <c r="H253" s="15">
        <v>46063</v>
      </c>
      <c r="I253" s="18">
        <v>46160</v>
      </c>
      <c r="J253" s="6" t="s">
        <v>445</v>
      </c>
      <c r="K253" s="6" t="s">
        <v>110</v>
      </c>
      <c r="L253" s="6" t="s">
        <v>446</v>
      </c>
      <c r="M253" s="18">
        <f>Таблица1[[#This Row],[Дата окончания ]]-7</f>
        <v>46153</v>
      </c>
      <c r="N253" s="18">
        <f>Таблица1[[#This Row],[Дата окончания ]]-5</f>
        <v>46155</v>
      </c>
      <c r="O253" s="15">
        <f>Таблица1[[#This Row],[Дата окончания ]]-1</f>
        <v>46159</v>
      </c>
      <c r="P253" s="6" t="s">
        <v>551</v>
      </c>
    </row>
    <row r="254" spans="1:17" ht="62" x14ac:dyDescent="0.35">
      <c r="A254" s="29" t="s">
        <v>512</v>
      </c>
      <c r="B254" s="14" t="s">
        <v>258</v>
      </c>
      <c r="C254" s="6" t="s">
        <v>116</v>
      </c>
      <c r="D254" s="6" t="s">
        <v>115</v>
      </c>
      <c r="E254" s="6" t="s">
        <v>344</v>
      </c>
      <c r="F254" s="6" t="s">
        <v>399</v>
      </c>
      <c r="G254" s="22">
        <v>13572.430000000002</v>
      </c>
      <c r="H254" s="15">
        <v>46063</v>
      </c>
      <c r="I254" s="18">
        <v>46161</v>
      </c>
      <c r="J254" s="6" t="s">
        <v>445</v>
      </c>
      <c r="K254" s="6" t="s">
        <v>110</v>
      </c>
      <c r="L254" s="6" t="s">
        <v>446</v>
      </c>
      <c r="M254" s="18">
        <f>Таблица1[[#This Row],[Дата окончания ]]-7</f>
        <v>46154</v>
      </c>
      <c r="N254" s="18">
        <f>Таблица1[[#This Row],[Дата окончания ]]-5</f>
        <v>46156</v>
      </c>
      <c r="O254" s="15">
        <f>Таблица1[[#This Row],[Дата окончания ]]-1</f>
        <v>46160</v>
      </c>
      <c r="P254" s="6" t="s">
        <v>552</v>
      </c>
    </row>
    <row r="255" spans="1:17" ht="62" x14ac:dyDescent="0.35">
      <c r="A255" s="29" t="s">
        <v>512</v>
      </c>
      <c r="B255" s="14" t="s">
        <v>260</v>
      </c>
      <c r="C255" s="6" t="s">
        <v>116</v>
      </c>
      <c r="D255" s="6" t="s">
        <v>115</v>
      </c>
      <c r="E255" s="6" t="s">
        <v>344</v>
      </c>
      <c r="F255" s="6" t="s">
        <v>399</v>
      </c>
      <c r="G255" s="22">
        <v>8953.2899999999991</v>
      </c>
      <c r="H255" s="15">
        <v>46063</v>
      </c>
      <c r="I255" s="18">
        <v>46161</v>
      </c>
      <c r="J255" s="6" t="s">
        <v>445</v>
      </c>
      <c r="K255" s="6" t="s">
        <v>110</v>
      </c>
      <c r="L255" s="6" t="s">
        <v>446</v>
      </c>
      <c r="M255" s="18">
        <f>Таблица1[[#This Row],[Дата окончания ]]-7</f>
        <v>46154</v>
      </c>
      <c r="N255" s="18">
        <f>Таблица1[[#This Row],[Дата окончания ]]-5</f>
        <v>46156</v>
      </c>
      <c r="O255" s="15">
        <f>Таблица1[[#This Row],[Дата окончания ]]-1</f>
        <v>46160</v>
      </c>
      <c r="P255" s="6" t="s">
        <v>553</v>
      </c>
    </row>
    <row r="256" spans="1:17" ht="62" x14ac:dyDescent="0.35">
      <c r="A256" s="29" t="s">
        <v>512</v>
      </c>
      <c r="B256" s="14" t="s">
        <v>263</v>
      </c>
      <c r="C256" s="6" t="s">
        <v>116</v>
      </c>
      <c r="D256" s="6" t="s">
        <v>115</v>
      </c>
      <c r="E256" s="6" t="s">
        <v>344</v>
      </c>
      <c r="F256" s="6" t="s">
        <v>399</v>
      </c>
      <c r="G256" s="22">
        <v>8196.9600000000009</v>
      </c>
      <c r="H256" s="15">
        <v>46063</v>
      </c>
      <c r="I256" s="18">
        <v>46162</v>
      </c>
      <c r="J256" s="6" t="s">
        <v>445</v>
      </c>
      <c r="K256" s="6" t="s">
        <v>110</v>
      </c>
      <c r="L256" s="6" t="s">
        <v>446</v>
      </c>
      <c r="M256" s="18">
        <f>Таблица1[[#This Row],[Дата окончания ]]-7</f>
        <v>46155</v>
      </c>
      <c r="N256" s="18">
        <f>Таблица1[[#This Row],[Дата окончания ]]-5</f>
        <v>46157</v>
      </c>
      <c r="O256" s="15">
        <f>Таблица1[[#This Row],[Дата окончания ]]-1</f>
        <v>46161</v>
      </c>
      <c r="P256" s="6" t="s">
        <v>554</v>
      </c>
    </row>
    <row r="257" spans="1:16" ht="62" x14ac:dyDescent="0.35">
      <c r="A257" s="6" t="s">
        <v>561</v>
      </c>
      <c r="B257" s="14" t="s">
        <v>157</v>
      </c>
      <c r="C257" s="6" t="s">
        <v>555</v>
      </c>
      <c r="D257" s="6" t="s">
        <v>556</v>
      </c>
      <c r="E257" s="6" t="s">
        <v>557</v>
      </c>
      <c r="F257" s="6" t="s">
        <v>558</v>
      </c>
      <c r="G257" s="22">
        <v>2840.6900000000005</v>
      </c>
      <c r="H257" s="15">
        <v>46152</v>
      </c>
      <c r="I257" s="18">
        <v>46163</v>
      </c>
      <c r="J257" s="6" t="s">
        <v>559</v>
      </c>
      <c r="K257" s="6" t="s">
        <v>236</v>
      </c>
      <c r="L257" s="6" t="s">
        <v>207</v>
      </c>
      <c r="M257" s="18">
        <f>Таблица1[[#This Row],[Дата окончания ]]-7</f>
        <v>46156</v>
      </c>
      <c r="N257" s="18">
        <f>Таблица1[[#This Row],[Дата окончания ]]-5</f>
        <v>46158</v>
      </c>
      <c r="O257" s="15">
        <f>Таблица1[[#This Row],[Дата окончания ]]-1</f>
        <v>46162</v>
      </c>
      <c r="P257" s="6" t="s">
        <v>560</v>
      </c>
    </row>
    <row r="258" spans="1:16" ht="62" x14ac:dyDescent="0.35">
      <c r="A258" s="29" t="s">
        <v>512</v>
      </c>
      <c r="B258" s="14" t="s">
        <v>280</v>
      </c>
      <c r="C258" s="6" t="s">
        <v>116</v>
      </c>
      <c r="D258" s="6" t="s">
        <v>115</v>
      </c>
      <c r="E258" s="6" t="s">
        <v>344</v>
      </c>
      <c r="F258" s="6" t="s">
        <v>399</v>
      </c>
      <c r="G258" s="22">
        <v>8460.41</v>
      </c>
      <c r="H258" s="15">
        <v>46063</v>
      </c>
      <c r="I258" s="18">
        <v>46163</v>
      </c>
      <c r="J258" s="6" t="s">
        <v>445</v>
      </c>
      <c r="K258" s="6" t="s">
        <v>110</v>
      </c>
      <c r="L258" s="6" t="s">
        <v>446</v>
      </c>
      <c r="M258" s="18">
        <f>Таблица1[[#This Row],[Дата окончания ]]-7</f>
        <v>46156</v>
      </c>
      <c r="N258" s="18">
        <f>Таблица1[[#This Row],[Дата окончания ]]-5</f>
        <v>46158</v>
      </c>
      <c r="O258" s="15">
        <f>Таблица1[[#This Row],[Дата окончания ]]-1</f>
        <v>46162</v>
      </c>
      <c r="P258" s="6" t="s">
        <v>562</v>
      </c>
    </row>
    <row r="259" spans="1:16" ht="62" x14ac:dyDescent="0.35">
      <c r="A259" s="29" t="s">
        <v>512</v>
      </c>
      <c r="B259" s="14" t="s">
        <v>282</v>
      </c>
      <c r="C259" s="6" t="s">
        <v>116</v>
      </c>
      <c r="D259" s="6" t="s">
        <v>115</v>
      </c>
      <c r="E259" s="6" t="s">
        <v>344</v>
      </c>
      <c r="F259" s="6" t="s">
        <v>399</v>
      </c>
      <c r="G259" s="22">
        <v>8954.84</v>
      </c>
      <c r="H259" s="15">
        <v>46063</v>
      </c>
      <c r="I259" s="18">
        <v>46163</v>
      </c>
      <c r="J259" s="6" t="s">
        <v>445</v>
      </c>
      <c r="K259" s="6" t="s">
        <v>110</v>
      </c>
      <c r="L259" s="6" t="s">
        <v>446</v>
      </c>
      <c r="M259" s="18">
        <f>Таблица1[[#This Row],[Дата окончания ]]-7</f>
        <v>46156</v>
      </c>
      <c r="N259" s="18">
        <f>Таблица1[[#This Row],[Дата окончания ]]-5</f>
        <v>46158</v>
      </c>
      <c r="O259" s="15">
        <f>Таблица1[[#This Row],[Дата окончания ]]-1</f>
        <v>46162</v>
      </c>
      <c r="P259" s="6" t="s">
        <v>563</v>
      </c>
    </row>
    <row r="260" spans="1:16" ht="46.5" x14ac:dyDescent="0.35">
      <c r="A260" s="6" t="s">
        <v>564</v>
      </c>
      <c r="B260" s="14" t="s">
        <v>157</v>
      </c>
      <c r="C260" s="6" t="s">
        <v>567</v>
      </c>
      <c r="D260" s="6" t="s">
        <v>566</v>
      </c>
      <c r="E260" s="6" t="s">
        <v>572</v>
      </c>
      <c r="F260" s="6" t="s">
        <v>569</v>
      </c>
      <c r="G260" s="22">
        <v>5641.79</v>
      </c>
      <c r="H260" s="15">
        <v>46154</v>
      </c>
      <c r="I260" s="18">
        <v>46164</v>
      </c>
      <c r="J260" s="6" t="s">
        <v>570</v>
      </c>
      <c r="K260" s="6" t="s">
        <v>110</v>
      </c>
      <c r="L260" s="6" t="s">
        <v>578</v>
      </c>
      <c r="M260" s="18">
        <f>Таблица1[[#This Row],[Дата окончания ]]-7</f>
        <v>46157</v>
      </c>
      <c r="N260" s="18">
        <f>Таблица1[[#This Row],[Дата окончания ]]-5</f>
        <v>46159</v>
      </c>
      <c r="O260" s="15">
        <f>Таблица1[[#This Row],[Дата окончания ]]-1</f>
        <v>46163</v>
      </c>
      <c r="P260" s="6" t="s">
        <v>577</v>
      </c>
    </row>
    <row r="261" spans="1:16" ht="46.5" x14ac:dyDescent="0.35">
      <c r="A261" s="6" t="s">
        <v>565</v>
      </c>
      <c r="B261" s="14" t="s">
        <v>157</v>
      </c>
      <c r="C261" s="6" t="s">
        <v>567</v>
      </c>
      <c r="D261" s="6" t="s">
        <v>566</v>
      </c>
      <c r="E261" s="6" t="s">
        <v>571</v>
      </c>
      <c r="F261" s="6" t="s">
        <v>573</v>
      </c>
      <c r="G261" s="22">
        <v>4027.63</v>
      </c>
      <c r="H261" s="15">
        <v>46154</v>
      </c>
      <c r="I261" s="18">
        <v>46164</v>
      </c>
      <c r="J261" s="6" t="s">
        <v>570</v>
      </c>
      <c r="K261" s="6" t="s">
        <v>110</v>
      </c>
      <c r="L261" s="6" t="s">
        <v>578</v>
      </c>
      <c r="M261" s="18">
        <f>Таблица1[[#This Row],[Дата окончания ]]-7</f>
        <v>46157</v>
      </c>
      <c r="N261" s="18">
        <f>Таблица1[[#This Row],[Дата окончания ]]-5</f>
        <v>46159</v>
      </c>
      <c r="O261" s="15">
        <f>Таблица1[[#This Row],[Дата окончания ]]-1</f>
        <v>46163</v>
      </c>
      <c r="P261" s="6" t="s">
        <v>577</v>
      </c>
    </row>
    <row r="262" spans="1:16" ht="62" x14ac:dyDescent="0.35">
      <c r="A262" s="6" t="s">
        <v>568</v>
      </c>
      <c r="B262" s="14" t="s">
        <v>157</v>
      </c>
      <c r="C262" s="6" t="s">
        <v>567</v>
      </c>
      <c r="D262" s="6" t="s">
        <v>566</v>
      </c>
      <c r="E262" s="6" t="s">
        <v>574</v>
      </c>
      <c r="F262" s="6" t="s">
        <v>575</v>
      </c>
      <c r="G262" s="22">
        <v>20618.050000000003</v>
      </c>
      <c r="H262" s="15">
        <v>46154</v>
      </c>
      <c r="I262" s="18">
        <v>46167</v>
      </c>
      <c r="J262" s="6" t="s">
        <v>576</v>
      </c>
      <c r="K262" s="6" t="s">
        <v>110</v>
      </c>
      <c r="L262" s="6" t="s">
        <v>238</v>
      </c>
      <c r="M262" s="18">
        <f>Таблица1[[#This Row],[Дата окончания ]]-7</f>
        <v>46160</v>
      </c>
      <c r="N262" s="18">
        <f>Таблица1[[#This Row],[Дата окончания ]]-5</f>
        <v>46162</v>
      </c>
      <c r="O262" s="15">
        <f>Таблица1[[#This Row],[Дата окончания ]]-1</f>
        <v>46166</v>
      </c>
      <c r="P262" s="6" t="s">
        <v>579</v>
      </c>
    </row>
    <row r="263" spans="1:16" ht="62" x14ac:dyDescent="0.35">
      <c r="A263" s="6" t="s">
        <v>580</v>
      </c>
      <c r="B263" s="14" t="s">
        <v>157</v>
      </c>
      <c r="C263" s="6" t="s">
        <v>581</v>
      </c>
      <c r="D263" s="6" t="s">
        <v>549</v>
      </c>
      <c r="E263" s="6" t="s">
        <v>583</v>
      </c>
      <c r="F263" s="6" t="s">
        <v>582</v>
      </c>
      <c r="G263" s="22">
        <v>10904.38</v>
      </c>
      <c r="H263" s="15">
        <v>46174</v>
      </c>
      <c r="I263" s="18">
        <v>46182</v>
      </c>
      <c r="J263" s="6" t="s">
        <v>584</v>
      </c>
      <c r="K263" s="6" t="s">
        <v>110</v>
      </c>
      <c r="L263" s="6" t="s">
        <v>322</v>
      </c>
      <c r="M263" s="18">
        <f>Таблица1[[#This Row],[Дата окончания ]]-7</f>
        <v>46175</v>
      </c>
      <c r="N263" s="18">
        <f>Таблица1[[#This Row],[Дата окончания ]]-5</f>
        <v>46177</v>
      </c>
      <c r="O263" s="15">
        <f>Таблица1[[#This Row],[Дата окончания ]]-1</f>
        <v>46181</v>
      </c>
      <c r="P263" s="6" t="s">
        <v>585</v>
      </c>
    </row>
    <row r="264" spans="1:16" ht="62" x14ac:dyDescent="0.35">
      <c r="A264" s="29" t="s">
        <v>512</v>
      </c>
      <c r="B264" s="14" t="s">
        <v>288</v>
      </c>
      <c r="C264" s="6" t="s">
        <v>116</v>
      </c>
      <c r="D264" s="6" t="s">
        <v>115</v>
      </c>
      <c r="E264" s="6" t="s">
        <v>344</v>
      </c>
      <c r="F264" s="6" t="s">
        <v>399</v>
      </c>
      <c r="G264" s="22">
        <v>7804.26</v>
      </c>
      <c r="H264" s="15">
        <v>46063</v>
      </c>
      <c r="I264" s="18">
        <v>46181</v>
      </c>
      <c r="J264" s="6" t="s">
        <v>445</v>
      </c>
      <c r="K264" s="6" t="s">
        <v>110</v>
      </c>
      <c r="L264" s="6" t="s">
        <v>446</v>
      </c>
      <c r="M264" s="18">
        <f>Таблица1[[#This Row],[Дата окончания ]]-7</f>
        <v>46174</v>
      </c>
      <c r="N264" s="18">
        <f>Таблица1[[#This Row],[Дата окончания ]]-5</f>
        <v>46176</v>
      </c>
      <c r="O264" s="15">
        <f>Таблица1[[#This Row],[Дата окончания ]]-1</f>
        <v>46180</v>
      </c>
      <c r="P264" s="6" t="s">
        <v>586</v>
      </c>
    </row>
    <row r="265" spans="1:16" ht="31" x14ac:dyDescent="0.35">
      <c r="A265" s="6" t="s">
        <v>587</v>
      </c>
      <c r="B265" s="14" t="s">
        <v>157</v>
      </c>
      <c r="C265" s="6" t="s">
        <v>589</v>
      </c>
      <c r="D265" s="6" t="s">
        <v>588</v>
      </c>
      <c r="E265" s="6" t="s">
        <v>590</v>
      </c>
      <c r="F265" s="6" t="s">
        <v>236</v>
      </c>
      <c r="G265" s="22">
        <v>657.5</v>
      </c>
      <c r="H265" s="15">
        <v>46178</v>
      </c>
      <c r="I265" s="18">
        <v>46183</v>
      </c>
      <c r="J265" s="6" t="s">
        <v>236</v>
      </c>
      <c r="K265" s="6" t="s">
        <v>236</v>
      </c>
      <c r="L265" s="6" t="s">
        <v>207</v>
      </c>
      <c r="M265" s="18">
        <v>46179</v>
      </c>
      <c r="N265" s="18"/>
      <c r="O265" s="15">
        <f>Таблица1[[#This Row],[Дата окончания ]]-1</f>
        <v>46182</v>
      </c>
      <c r="P265" s="6" t="s">
        <v>342</v>
      </c>
    </row>
    <row r="266" spans="1:16" ht="62" x14ac:dyDescent="0.35">
      <c r="A266" s="29" t="s">
        <v>512</v>
      </c>
      <c r="B266" s="14" t="s">
        <v>298</v>
      </c>
      <c r="C266" s="6" t="s">
        <v>116</v>
      </c>
      <c r="D266" s="6" t="s">
        <v>115</v>
      </c>
      <c r="E266" s="6" t="s">
        <v>344</v>
      </c>
      <c r="F266" s="6" t="s">
        <v>399</v>
      </c>
      <c r="G266" s="22">
        <v>13020.619999999999</v>
      </c>
      <c r="H266" s="15">
        <v>46063</v>
      </c>
      <c r="I266" s="18">
        <v>46188</v>
      </c>
      <c r="J266" s="6" t="s">
        <v>445</v>
      </c>
      <c r="K266" s="6" t="s">
        <v>110</v>
      </c>
      <c r="L266" s="6" t="s">
        <v>446</v>
      </c>
      <c r="M266" s="18">
        <f>Таблица1[[#This Row],[Дата окончания ]]-7</f>
        <v>46181</v>
      </c>
      <c r="N266" s="18">
        <f>Таблица1[[#This Row],[Дата окончания ]]-5</f>
        <v>46183</v>
      </c>
      <c r="O266" s="15">
        <f>Таблица1[[#This Row],[Дата окончания ]]-1</f>
        <v>46187</v>
      </c>
      <c r="P266" s="6" t="s">
        <v>591</v>
      </c>
    </row>
    <row r="267" spans="1:16" ht="62" x14ac:dyDescent="0.35">
      <c r="A267" s="6" t="s">
        <v>561</v>
      </c>
      <c r="B267" s="14" t="s">
        <v>159</v>
      </c>
      <c r="C267" s="6" t="s">
        <v>555</v>
      </c>
      <c r="D267" s="6" t="s">
        <v>556</v>
      </c>
      <c r="E267" s="6" t="s">
        <v>557</v>
      </c>
      <c r="F267" s="6" t="s">
        <v>558</v>
      </c>
      <c r="G267" s="22">
        <v>250</v>
      </c>
      <c r="H267" s="15">
        <v>46152</v>
      </c>
      <c r="I267" s="18">
        <v>46190</v>
      </c>
      <c r="J267" s="6" t="s">
        <v>559</v>
      </c>
      <c r="K267" s="6" t="s">
        <v>236</v>
      </c>
      <c r="L267" s="6" t="s">
        <v>207</v>
      </c>
      <c r="M267" s="18">
        <f>Таблица1[[#This Row],[Дата окончания ]]-7</f>
        <v>46183</v>
      </c>
      <c r="N267" s="18">
        <f>Таблица1[[#This Row],[Дата окончания ]]-5</f>
        <v>46185</v>
      </c>
      <c r="O267" s="15">
        <f>Таблица1[[#This Row],[Дата окончания ]]-1</f>
        <v>46189</v>
      </c>
      <c r="P267" s="6" t="s">
        <v>592</v>
      </c>
    </row>
    <row r="268" spans="1:16" ht="62" x14ac:dyDescent="0.35">
      <c r="A268" s="29" t="s">
        <v>512</v>
      </c>
      <c r="B268" s="14" t="s">
        <v>352</v>
      </c>
      <c r="C268" s="6" t="s">
        <v>116</v>
      </c>
      <c r="D268" s="6" t="s">
        <v>115</v>
      </c>
      <c r="E268" s="6" t="s">
        <v>344</v>
      </c>
      <c r="F268" s="6" t="s">
        <v>399</v>
      </c>
      <c r="G268" s="22">
        <v>14997</v>
      </c>
      <c r="H268" s="15">
        <v>46063</v>
      </c>
      <c r="I268" s="18">
        <v>46190</v>
      </c>
      <c r="J268" s="6" t="s">
        <v>445</v>
      </c>
      <c r="K268" s="6" t="s">
        <v>110</v>
      </c>
      <c r="L268" s="6" t="s">
        <v>446</v>
      </c>
      <c r="M268" s="18">
        <f>Таблица1[[#This Row],[Дата окончания ]]-7</f>
        <v>46183</v>
      </c>
      <c r="N268" s="18">
        <f>Таблица1[[#This Row],[Дата окончания ]]-5</f>
        <v>46185</v>
      </c>
      <c r="O268" s="15">
        <f>Таблица1[[#This Row],[Дата окончания ]]-1</f>
        <v>46189</v>
      </c>
      <c r="P268" s="6" t="s">
        <v>593</v>
      </c>
    </row>
    <row r="269" spans="1:16" ht="93" x14ac:dyDescent="0.35">
      <c r="A269" s="6" t="s">
        <v>603</v>
      </c>
      <c r="B269" s="14" t="s">
        <v>157</v>
      </c>
      <c r="C269" s="6" t="s">
        <v>604</v>
      </c>
      <c r="D269" s="6" t="s">
        <v>607</v>
      </c>
      <c r="E269" s="6" t="s">
        <v>605</v>
      </c>
      <c r="F269" s="6" t="s">
        <v>606</v>
      </c>
      <c r="G269" s="22">
        <v>2315.2999999999997</v>
      </c>
      <c r="H269" s="15">
        <v>46185</v>
      </c>
      <c r="I269" s="18">
        <v>46196</v>
      </c>
      <c r="J269" s="6" t="s">
        <v>236</v>
      </c>
      <c r="K269" s="6" t="s">
        <v>110</v>
      </c>
      <c r="L269" s="6" t="s">
        <v>600</v>
      </c>
      <c r="M269" s="18">
        <f>Таблица1[[#This Row],[Дата окончания ]]-7</f>
        <v>46189</v>
      </c>
      <c r="N269" s="18">
        <f>Таблица1[[#This Row],[Дата окончания ]]-5</f>
        <v>46191</v>
      </c>
      <c r="O269" s="15">
        <f>Таблица1[[#This Row],[Дата окончания ]]-1</f>
        <v>46195</v>
      </c>
      <c r="P269" s="6" t="s">
        <v>608</v>
      </c>
    </row>
    <row r="270" spans="1:16" ht="62" x14ac:dyDescent="0.35">
      <c r="A270" s="6" t="s">
        <v>609</v>
      </c>
      <c r="B270" s="14" t="s">
        <v>157</v>
      </c>
      <c r="C270" s="6" t="s">
        <v>613</v>
      </c>
      <c r="D270" s="6" t="s">
        <v>106</v>
      </c>
      <c r="E270" s="6" t="s">
        <v>611</v>
      </c>
      <c r="F270" s="6" t="s">
        <v>610</v>
      </c>
      <c r="G270" s="38">
        <v>15.347</v>
      </c>
      <c r="H270" s="15">
        <v>46187</v>
      </c>
      <c r="I270" s="18">
        <v>46196</v>
      </c>
      <c r="J270" s="6" t="s">
        <v>612</v>
      </c>
      <c r="K270" s="6" t="s">
        <v>110</v>
      </c>
      <c r="L270" s="6" t="s">
        <v>600</v>
      </c>
      <c r="M270" s="18">
        <f>Таблица1[[#This Row],[Дата окончания ]]-7</f>
        <v>46189</v>
      </c>
      <c r="N270" s="18">
        <f>Таблица1[[#This Row],[Дата окончания ]]-5</f>
        <v>46191</v>
      </c>
      <c r="O270" s="15">
        <f>Таблица1[[#This Row],[Дата окончания ]]-1</f>
        <v>46195</v>
      </c>
      <c r="P270" s="6" t="s">
        <v>614</v>
      </c>
    </row>
    <row r="271" spans="1:16" ht="77.5" x14ac:dyDescent="0.35">
      <c r="A271" s="6" t="s">
        <v>594</v>
      </c>
      <c r="B271" s="14" t="s">
        <v>157</v>
      </c>
      <c r="C271" s="6" t="s">
        <v>595</v>
      </c>
      <c r="D271" s="6" t="s">
        <v>596</v>
      </c>
      <c r="E271" s="6" t="s">
        <v>597</v>
      </c>
      <c r="F271" s="6" t="s">
        <v>599</v>
      </c>
      <c r="G271" s="22">
        <v>5835</v>
      </c>
      <c r="H271" s="15">
        <v>46188</v>
      </c>
      <c r="I271" s="18">
        <v>46203</v>
      </c>
      <c r="J271" s="6" t="s">
        <v>601</v>
      </c>
      <c r="K271" s="6" t="s">
        <v>110</v>
      </c>
      <c r="L271" s="6" t="s">
        <v>600</v>
      </c>
      <c r="M271" s="18">
        <f>Таблица1[[#This Row],[Дата окончания ]]-7</f>
        <v>46196</v>
      </c>
      <c r="N271" s="18">
        <f>Таблица1[[#This Row],[Дата окончания ]]-5</f>
        <v>46198</v>
      </c>
      <c r="O271" s="15">
        <f>Таблица1[[#This Row],[Дата окончания ]]-1</f>
        <v>46202</v>
      </c>
      <c r="P271" s="6" t="s">
        <v>615</v>
      </c>
    </row>
    <row r="272" spans="1:16" ht="77.5" x14ac:dyDescent="0.35">
      <c r="A272" s="6" t="s">
        <v>594</v>
      </c>
      <c r="B272" s="14" t="s">
        <v>159</v>
      </c>
      <c r="C272" s="6" t="s">
        <v>595</v>
      </c>
      <c r="D272" s="6" t="s">
        <v>596</v>
      </c>
      <c r="E272" s="6" t="s">
        <v>597</v>
      </c>
      <c r="F272" s="6" t="s">
        <v>598</v>
      </c>
      <c r="G272" s="38">
        <v>1758.1</v>
      </c>
      <c r="H272" s="15">
        <v>46188</v>
      </c>
      <c r="I272" s="18">
        <v>46203</v>
      </c>
      <c r="J272" s="6" t="s">
        <v>602</v>
      </c>
      <c r="K272" s="6" t="s">
        <v>110</v>
      </c>
      <c r="L272" s="6" t="s">
        <v>600</v>
      </c>
      <c r="M272" s="18">
        <f>Таблица1[[#This Row],[Дата окончания ]]-7</f>
        <v>46196</v>
      </c>
      <c r="N272" s="18">
        <f>Таблица1[[#This Row],[Дата окончания ]]-5</f>
        <v>46198</v>
      </c>
      <c r="O272" s="15">
        <f>Таблица1[[#This Row],[Дата окончания ]]-1</f>
        <v>46202</v>
      </c>
      <c r="P272" s="6" t="s">
        <v>616</v>
      </c>
    </row>
    <row r="273" spans="1:16" ht="62" x14ac:dyDescent="0.35">
      <c r="A273" s="6" t="s">
        <v>609</v>
      </c>
      <c r="B273" s="14" t="s">
        <v>159</v>
      </c>
      <c r="C273" s="6" t="s">
        <v>613</v>
      </c>
      <c r="D273" s="6" t="s">
        <v>106</v>
      </c>
      <c r="E273" s="6" t="s">
        <v>611</v>
      </c>
      <c r="F273" s="6" t="s">
        <v>610</v>
      </c>
      <c r="G273" s="22">
        <v>13.396000000000001</v>
      </c>
      <c r="H273" s="15">
        <v>46187</v>
      </c>
      <c r="I273" s="18">
        <v>46203</v>
      </c>
      <c r="J273" s="6" t="s">
        <v>612</v>
      </c>
      <c r="K273" s="6" t="s">
        <v>110</v>
      </c>
      <c r="L273" s="6" t="s">
        <v>600</v>
      </c>
      <c r="M273" s="18">
        <f>Таблица1[[#This Row],[Дата окончания ]]-7</f>
        <v>46196</v>
      </c>
      <c r="N273" s="18">
        <f>Таблица1[[#This Row],[Дата окончания ]]-5</f>
        <v>46198</v>
      </c>
      <c r="O273" s="15">
        <f>Таблица1[[#This Row],[Дата окончания ]]-1</f>
        <v>46202</v>
      </c>
      <c r="P273" s="6" t="s">
        <v>617</v>
      </c>
    </row>
    <row r="274" spans="1:16" ht="62" x14ac:dyDescent="0.35">
      <c r="A274" s="6" t="s">
        <v>609</v>
      </c>
      <c r="B274" s="14" t="s">
        <v>162</v>
      </c>
      <c r="C274" s="6" t="s">
        <v>613</v>
      </c>
      <c r="D274" s="6" t="s">
        <v>106</v>
      </c>
      <c r="E274" s="6" t="s">
        <v>611</v>
      </c>
      <c r="F274" s="6" t="s">
        <v>610</v>
      </c>
      <c r="G274" s="22">
        <v>14307</v>
      </c>
      <c r="H274" s="15">
        <v>46187</v>
      </c>
      <c r="I274" s="15">
        <v>46205</v>
      </c>
      <c r="J274" s="6" t="s">
        <v>612</v>
      </c>
      <c r="K274" s="6" t="s">
        <v>110</v>
      </c>
      <c r="L274" s="6" t="s">
        <v>600</v>
      </c>
      <c r="M274" s="18">
        <f>Таблица1[[#This Row],[Дата окончания ]]-7</f>
        <v>46198</v>
      </c>
      <c r="N274" s="18">
        <f>Таблица1[[#This Row],[Дата окончания ]]-5</f>
        <v>46200</v>
      </c>
      <c r="O274" s="15">
        <f>Таблица1[[#This Row],[Дата окончания ]]-1</f>
        <v>46204</v>
      </c>
      <c r="P274" s="6" t="s">
        <v>618</v>
      </c>
    </row>
    <row r="275" spans="1:16" ht="124" x14ac:dyDescent="0.35">
      <c r="A275" s="6" t="s">
        <v>619</v>
      </c>
      <c r="B275" s="14" t="s">
        <v>157</v>
      </c>
      <c r="C275" s="6" t="s">
        <v>626</v>
      </c>
      <c r="D275" s="6" t="s">
        <v>106</v>
      </c>
      <c r="E275" s="6" t="s">
        <v>623</v>
      </c>
      <c r="F275" s="6" t="s">
        <v>624</v>
      </c>
      <c r="G275" s="22">
        <v>4256.92</v>
      </c>
      <c r="H275" s="15">
        <v>46188</v>
      </c>
      <c r="I275" s="18">
        <v>46210</v>
      </c>
      <c r="J275" s="6" t="s">
        <v>622</v>
      </c>
      <c r="K275" s="6" t="s">
        <v>621</v>
      </c>
      <c r="L275" s="6" t="s">
        <v>625</v>
      </c>
      <c r="M275" s="18">
        <f>Таблица1[[#This Row],[Дата окончания ]]-7</f>
        <v>46203</v>
      </c>
      <c r="N275" s="18">
        <f>Таблица1[[#This Row],[Дата окончания ]]-5</f>
        <v>46205</v>
      </c>
      <c r="O275" s="15">
        <f>Таблица1[[#This Row],[Дата окончания ]]-1</f>
        <v>46209</v>
      </c>
      <c r="P275" s="6" t="s">
        <v>627</v>
      </c>
    </row>
    <row r="276" spans="1:16" ht="124" x14ac:dyDescent="0.35">
      <c r="A276" s="6" t="s">
        <v>620</v>
      </c>
      <c r="B276" s="14" t="s">
        <v>157</v>
      </c>
      <c r="C276" s="6" t="s">
        <v>626</v>
      </c>
      <c r="D276" s="6" t="s">
        <v>106</v>
      </c>
      <c r="E276" s="6" t="s">
        <v>648</v>
      </c>
      <c r="F276" s="6" t="s">
        <v>649</v>
      </c>
      <c r="G276" s="22">
        <v>13560.86</v>
      </c>
      <c r="H276" s="15">
        <v>46188</v>
      </c>
      <c r="I276" s="18">
        <v>46210</v>
      </c>
      <c r="J276" s="6" t="s">
        <v>650</v>
      </c>
      <c r="K276" s="6" t="s">
        <v>621</v>
      </c>
      <c r="L276" s="6" t="s">
        <v>625</v>
      </c>
      <c r="M276" s="18">
        <f>Таблица1[[#This Row],[Дата окончания ]]-7</f>
        <v>46203</v>
      </c>
      <c r="N276" s="18">
        <f>Таблица1[[#This Row],[Дата окончания ]]-5</f>
        <v>46205</v>
      </c>
      <c r="O276" s="15">
        <f>Таблица1[[#This Row],[Дата окончания ]]-1</f>
        <v>46209</v>
      </c>
      <c r="P276" s="6" t="s">
        <v>628</v>
      </c>
    </row>
    <row r="277" spans="1:16" ht="31" x14ac:dyDescent="0.35">
      <c r="A277" s="6" t="s">
        <v>629</v>
      </c>
      <c r="B277" s="14" t="s">
        <v>157</v>
      </c>
      <c r="C277" s="6" t="s">
        <v>630</v>
      </c>
      <c r="D277" s="6" t="s">
        <v>631</v>
      </c>
      <c r="E277" s="6" t="s">
        <v>632</v>
      </c>
      <c r="F277" s="6" t="s">
        <v>633</v>
      </c>
      <c r="G277" s="22">
        <v>18616.310000000001</v>
      </c>
      <c r="H277" s="15">
        <v>46188</v>
      </c>
      <c r="I277" s="18">
        <v>46211</v>
      </c>
      <c r="J277" s="6" t="s">
        <v>634</v>
      </c>
      <c r="K277" s="6" t="s">
        <v>110</v>
      </c>
      <c r="L277" s="6" t="s">
        <v>600</v>
      </c>
      <c r="M277" s="18">
        <f>Таблица1[[#This Row],[Дата окончания ]]-7</f>
        <v>46204</v>
      </c>
      <c r="N277" s="18">
        <f>Таблица1[[#This Row],[Дата окончания ]]-5</f>
        <v>46206</v>
      </c>
      <c r="O277" s="15">
        <f>Таблица1[[#This Row],[Дата окончания ]]-1</f>
        <v>46210</v>
      </c>
      <c r="P277" s="6" t="s">
        <v>635</v>
      </c>
    </row>
    <row r="278" spans="1:16" ht="31" x14ac:dyDescent="0.35">
      <c r="A278" s="6" t="s">
        <v>629</v>
      </c>
      <c r="B278" s="14" t="s">
        <v>159</v>
      </c>
      <c r="C278" s="6" t="s">
        <v>630</v>
      </c>
      <c r="D278" s="6" t="s">
        <v>631</v>
      </c>
      <c r="E278" s="6" t="s">
        <v>632</v>
      </c>
      <c r="F278" s="6" t="s">
        <v>633</v>
      </c>
      <c r="G278" s="22">
        <v>17633.900000000001</v>
      </c>
      <c r="H278" s="15">
        <v>46188</v>
      </c>
      <c r="I278" s="18">
        <v>46211</v>
      </c>
      <c r="J278" s="6" t="s">
        <v>634</v>
      </c>
      <c r="K278" s="6" t="s">
        <v>110</v>
      </c>
      <c r="L278" s="6" t="s">
        <v>600</v>
      </c>
      <c r="M278" s="18">
        <f>Таблица1[[#This Row],[Дата окончания ]]-7</f>
        <v>46204</v>
      </c>
      <c r="N278" s="18">
        <f>Таблица1[[#This Row],[Дата окончания ]]-5</f>
        <v>46206</v>
      </c>
      <c r="O278" s="15">
        <f>Таблица1[[#This Row],[Дата окончания ]]-1</f>
        <v>46210</v>
      </c>
      <c r="P278" s="6"/>
    </row>
    <row r="279" spans="1:16" ht="124" x14ac:dyDescent="0.35">
      <c r="A279" s="6" t="s">
        <v>620</v>
      </c>
      <c r="B279" s="14" t="s">
        <v>159</v>
      </c>
      <c r="C279" s="6" t="s">
        <v>626</v>
      </c>
      <c r="D279" s="6" t="s">
        <v>106</v>
      </c>
      <c r="E279" s="6" t="s">
        <v>648</v>
      </c>
      <c r="F279" s="6" t="s">
        <v>649</v>
      </c>
      <c r="G279" s="22">
        <v>19058.84</v>
      </c>
      <c r="H279" s="15">
        <v>46188</v>
      </c>
      <c r="I279" s="18">
        <v>46216</v>
      </c>
      <c r="J279" s="6" t="s">
        <v>650</v>
      </c>
      <c r="K279" s="6" t="s">
        <v>621</v>
      </c>
      <c r="L279" s="6" t="s">
        <v>625</v>
      </c>
      <c r="M279" s="18">
        <f>Таблица1[[#This Row],[Дата окончания ]]-7</f>
        <v>46209</v>
      </c>
      <c r="N279" s="18">
        <f>Таблица1[[#This Row],[Дата окончания ]]-5</f>
        <v>46211</v>
      </c>
      <c r="O279" s="15">
        <f>Таблица1[[#This Row],[Дата окончания ]]-1</f>
        <v>46215</v>
      </c>
      <c r="P279" s="6" t="s">
        <v>636</v>
      </c>
    </row>
    <row r="280" spans="1:16" ht="124" x14ac:dyDescent="0.35">
      <c r="A280" s="6" t="s">
        <v>620</v>
      </c>
      <c r="B280" s="14" t="s">
        <v>162</v>
      </c>
      <c r="C280" s="6" t="s">
        <v>626</v>
      </c>
      <c r="D280" s="6" t="s">
        <v>106</v>
      </c>
      <c r="E280" s="6" t="s">
        <v>648</v>
      </c>
      <c r="F280" s="6" t="s">
        <v>649</v>
      </c>
      <c r="G280" s="22">
        <v>19120.87</v>
      </c>
      <c r="H280" s="15">
        <v>46188</v>
      </c>
      <c r="I280" s="18">
        <v>46217</v>
      </c>
      <c r="J280" s="6" t="s">
        <v>650</v>
      </c>
      <c r="K280" s="6" t="s">
        <v>621</v>
      </c>
      <c r="L280" s="6" t="s">
        <v>625</v>
      </c>
      <c r="M280" s="18">
        <f>Таблица1[[#This Row],[Дата окончания ]]-7</f>
        <v>46210</v>
      </c>
      <c r="N280" s="18">
        <f>Таблица1[[#This Row],[Дата окончания ]]-5</f>
        <v>46212</v>
      </c>
      <c r="O280" s="15">
        <f>Таблица1[[#This Row],[Дата окончания ]]-1</f>
        <v>46216</v>
      </c>
      <c r="P280" s="6" t="s">
        <v>637</v>
      </c>
    </row>
    <row r="281" spans="1:16" ht="46.5" x14ac:dyDescent="0.35">
      <c r="A281" s="6" t="s">
        <v>629</v>
      </c>
      <c r="B281" s="14" t="s">
        <v>162</v>
      </c>
      <c r="C281" s="6" t="s">
        <v>630</v>
      </c>
      <c r="D281" s="6" t="s">
        <v>631</v>
      </c>
      <c r="E281" s="6" t="s">
        <v>632</v>
      </c>
      <c r="F281" s="6" t="s">
        <v>633</v>
      </c>
      <c r="G281" s="22">
        <v>13217.7</v>
      </c>
      <c r="H281" s="15">
        <v>46188</v>
      </c>
      <c r="I281" s="18">
        <v>46218</v>
      </c>
      <c r="J281" s="6" t="s">
        <v>634</v>
      </c>
      <c r="K281" s="6" t="s">
        <v>110</v>
      </c>
      <c r="L281" s="6" t="s">
        <v>600</v>
      </c>
      <c r="M281" s="18">
        <f>Таблица1[[#This Row],[Дата окончания ]]-7</f>
        <v>46211</v>
      </c>
      <c r="N281" s="18">
        <f>Таблица1[[#This Row],[Дата окончания ]]-5</f>
        <v>46213</v>
      </c>
      <c r="O281" s="15">
        <f>Таблица1[[#This Row],[Дата окончания ]]-1</f>
        <v>46217</v>
      </c>
      <c r="P281" s="6" t="s">
        <v>638</v>
      </c>
    </row>
    <row r="282" spans="1:16" ht="31" x14ac:dyDescent="0.35">
      <c r="A282" s="6" t="s">
        <v>629</v>
      </c>
      <c r="B282" s="14" t="s">
        <v>164</v>
      </c>
      <c r="C282" s="6" t="s">
        <v>630</v>
      </c>
      <c r="D282" s="6" t="s">
        <v>631</v>
      </c>
      <c r="E282" s="6" t="s">
        <v>632</v>
      </c>
      <c r="F282" s="6" t="s">
        <v>633</v>
      </c>
      <c r="G282" s="22">
        <v>10935.2</v>
      </c>
      <c r="H282" s="15">
        <v>46188</v>
      </c>
      <c r="I282" s="18">
        <v>46218</v>
      </c>
      <c r="J282" s="6" t="s">
        <v>634</v>
      </c>
      <c r="K282" s="6" t="s">
        <v>110</v>
      </c>
      <c r="L282" s="6" t="s">
        <v>600</v>
      </c>
      <c r="M282" s="18">
        <f>Таблица1[[#This Row],[Дата окончания ]]-7</f>
        <v>46211</v>
      </c>
      <c r="N282" s="18">
        <f>Таблица1[[#This Row],[Дата окончания ]]-5</f>
        <v>46213</v>
      </c>
      <c r="O282" s="15">
        <f>Таблица1[[#This Row],[Дата окончания ]]-1</f>
        <v>46217</v>
      </c>
      <c r="P282" s="6" t="s">
        <v>639</v>
      </c>
    </row>
    <row r="283" spans="1:16" ht="124" x14ac:dyDescent="0.35">
      <c r="A283" s="6" t="s">
        <v>620</v>
      </c>
      <c r="B283" s="14" t="s">
        <v>164</v>
      </c>
      <c r="C283" s="6" t="s">
        <v>626</v>
      </c>
      <c r="D283" s="6" t="s">
        <v>106</v>
      </c>
      <c r="E283" s="6" t="s">
        <v>648</v>
      </c>
      <c r="F283" s="6" t="s">
        <v>649</v>
      </c>
      <c r="G283" s="22">
        <v>20579.32</v>
      </c>
      <c r="H283" s="15">
        <v>46188</v>
      </c>
      <c r="I283" s="18">
        <v>46219</v>
      </c>
      <c r="J283" s="6" t="s">
        <v>650</v>
      </c>
      <c r="K283" s="6" t="s">
        <v>621</v>
      </c>
      <c r="L283" s="6" t="s">
        <v>625</v>
      </c>
      <c r="M283" s="18">
        <f>Таблица1[[#This Row],[Дата окончания ]]-7</f>
        <v>46212</v>
      </c>
      <c r="N283" s="18">
        <f>Таблица1[[#This Row],[Дата окончания ]]-5</f>
        <v>46214</v>
      </c>
      <c r="O283" s="15">
        <f>Таблица1[[#This Row],[Дата окончания ]]-1</f>
        <v>46218</v>
      </c>
      <c r="P283" s="6" t="s">
        <v>640</v>
      </c>
    </row>
    <row r="284" spans="1:16" ht="77.5" x14ac:dyDescent="0.35">
      <c r="A284" s="6" t="s">
        <v>641</v>
      </c>
      <c r="B284" s="14" t="s">
        <v>157</v>
      </c>
      <c r="C284" s="6" t="s">
        <v>642</v>
      </c>
      <c r="D284" s="6" t="s">
        <v>643</v>
      </c>
      <c r="E284" s="6" t="s">
        <v>644</v>
      </c>
      <c r="F284" s="6" t="s">
        <v>645</v>
      </c>
      <c r="G284" s="22">
        <v>14629.500000000002</v>
      </c>
      <c r="H284" s="15">
        <v>46193</v>
      </c>
      <c r="I284" s="18">
        <v>46220</v>
      </c>
      <c r="J284" s="6" t="s">
        <v>646</v>
      </c>
      <c r="K284" s="6" t="s">
        <v>110</v>
      </c>
      <c r="L284" s="6" t="s">
        <v>647</v>
      </c>
      <c r="M284" s="18">
        <f>Таблица1[[#This Row],[Дата окончания ]]-7</f>
        <v>46213</v>
      </c>
      <c r="N284" s="18">
        <f>Таблица1[[#This Row],[Дата окончания ]]-5</f>
        <v>46215</v>
      </c>
      <c r="O284" s="15">
        <f>Таблица1[[#This Row],[Дата окончания ]]-1</f>
        <v>46219</v>
      </c>
      <c r="P284" s="6"/>
    </row>
    <row r="285" spans="1:16" ht="124" x14ac:dyDescent="0.35">
      <c r="A285" s="6" t="s">
        <v>620</v>
      </c>
      <c r="B285" s="14" t="s">
        <v>166</v>
      </c>
      <c r="C285" s="6" t="s">
        <v>626</v>
      </c>
      <c r="D285" s="6" t="s">
        <v>106</v>
      </c>
      <c r="E285" s="6" t="s">
        <v>648</v>
      </c>
      <c r="F285" s="6" t="s">
        <v>649</v>
      </c>
      <c r="G285" s="22">
        <v>20480.52</v>
      </c>
      <c r="H285" s="15">
        <v>46188</v>
      </c>
      <c r="I285" s="18">
        <v>46223</v>
      </c>
      <c r="J285" s="6" t="s">
        <v>650</v>
      </c>
      <c r="K285" s="6" t="s">
        <v>621</v>
      </c>
      <c r="L285" s="6" t="s">
        <v>625</v>
      </c>
      <c r="M285" s="18">
        <f>Таблица1[[#This Row],[Дата окончания ]]-7</f>
        <v>46216</v>
      </c>
      <c r="N285" s="18">
        <f>Таблица1[[#This Row],[Дата окончания ]]-5</f>
        <v>46218</v>
      </c>
      <c r="O285" s="15">
        <f>Таблица1[[#This Row],[Дата окончания ]]-1</f>
        <v>46222</v>
      </c>
      <c r="P285" s="6" t="s">
        <v>651</v>
      </c>
    </row>
    <row r="286" spans="1:16" ht="62" x14ac:dyDescent="0.35">
      <c r="A286" s="6" t="s">
        <v>568</v>
      </c>
      <c r="B286" s="14" t="s">
        <v>159</v>
      </c>
      <c r="C286" s="6" t="s">
        <v>567</v>
      </c>
      <c r="D286" s="6" t="s">
        <v>566</v>
      </c>
      <c r="E286" s="6" t="s">
        <v>574</v>
      </c>
      <c r="F286" s="6" t="s">
        <v>575</v>
      </c>
      <c r="G286" s="22">
        <v>15238.67</v>
      </c>
      <c r="H286" s="15">
        <v>46154</v>
      </c>
      <c r="I286" s="18">
        <v>46171</v>
      </c>
      <c r="J286" s="6" t="s">
        <v>576</v>
      </c>
      <c r="K286" s="6" t="s">
        <v>110</v>
      </c>
      <c r="L286" s="6" t="s">
        <v>238</v>
      </c>
      <c r="M286" s="18">
        <f>Таблица1[[#This Row],[Дата окончания ]]-7</f>
        <v>46164</v>
      </c>
      <c r="N286" s="18">
        <f>Таблица1[[#This Row],[Дата окончания ]]-5</f>
        <v>46166</v>
      </c>
      <c r="O286" s="15">
        <f>Таблица1[[#This Row],[Дата окончания ]]-1</f>
        <v>46170</v>
      </c>
      <c r="P286" s="6"/>
    </row>
    <row r="287" spans="1:16" ht="62" x14ac:dyDescent="0.35">
      <c r="A287" s="6" t="s">
        <v>568</v>
      </c>
      <c r="B287" s="14" t="s">
        <v>162</v>
      </c>
      <c r="C287" s="6" t="s">
        <v>567</v>
      </c>
      <c r="D287" s="6" t="s">
        <v>566</v>
      </c>
      <c r="E287" s="6" t="s">
        <v>574</v>
      </c>
      <c r="F287" s="6" t="s">
        <v>575</v>
      </c>
      <c r="G287" s="22">
        <v>7540.07</v>
      </c>
      <c r="H287" s="15">
        <v>46154</v>
      </c>
      <c r="I287" s="18">
        <v>46175</v>
      </c>
      <c r="J287" s="6" t="s">
        <v>576</v>
      </c>
      <c r="K287" s="6" t="s">
        <v>110</v>
      </c>
      <c r="L287" s="6" t="s">
        <v>238</v>
      </c>
      <c r="M287" s="18">
        <f>Таблица1[[#This Row],[Дата окончания ]]-7</f>
        <v>46168</v>
      </c>
      <c r="N287" s="18">
        <f>Таблица1[[#This Row],[Дата окончания ]]-5</f>
        <v>46170</v>
      </c>
      <c r="O287" s="15">
        <f>Таблица1[[#This Row],[Дата окончания ]]-1</f>
        <v>46174</v>
      </c>
      <c r="P287" s="6"/>
    </row>
    <row r="288" spans="1:16" ht="77.5" x14ac:dyDescent="0.35">
      <c r="A288" s="6" t="s">
        <v>641</v>
      </c>
      <c r="B288" s="14" t="s">
        <v>159</v>
      </c>
      <c r="C288" s="6" t="s">
        <v>642</v>
      </c>
      <c r="D288" s="6" t="s">
        <v>643</v>
      </c>
      <c r="E288" s="6" t="s">
        <v>644</v>
      </c>
      <c r="F288" s="6" t="s">
        <v>645</v>
      </c>
      <c r="G288" s="22">
        <v>12400.9</v>
      </c>
      <c r="H288" s="15">
        <v>46193</v>
      </c>
      <c r="I288" s="18">
        <v>46226</v>
      </c>
      <c r="J288" s="6" t="s">
        <v>646</v>
      </c>
      <c r="K288" s="6" t="s">
        <v>110</v>
      </c>
      <c r="L288" s="6" t="s">
        <v>647</v>
      </c>
      <c r="M288" s="18">
        <f>Таблица1[[#This Row],[Дата окончания ]]-7</f>
        <v>46219</v>
      </c>
      <c r="N288" s="18">
        <f>Таблица1[[#This Row],[Дата окончания ]]-5</f>
        <v>46221</v>
      </c>
      <c r="O288" s="15">
        <f>Таблица1[[#This Row],[Дата окончания ]]-1</f>
        <v>46225</v>
      </c>
      <c r="P288" s="6"/>
    </row>
    <row r="289" spans="1:16" ht="124" x14ac:dyDescent="0.35">
      <c r="A289" s="6" t="s">
        <v>620</v>
      </c>
      <c r="B289" s="14" t="s">
        <v>142</v>
      </c>
      <c r="C289" s="6" t="s">
        <v>626</v>
      </c>
      <c r="D289" s="6" t="s">
        <v>106</v>
      </c>
      <c r="E289" s="6" t="s">
        <v>648</v>
      </c>
      <c r="F289" s="6" t="s">
        <v>649</v>
      </c>
      <c r="G289" s="22">
        <v>19474.400000000001</v>
      </c>
      <c r="H289" s="15">
        <v>46188</v>
      </c>
      <c r="I289" s="18">
        <v>46226</v>
      </c>
      <c r="J289" s="6" t="s">
        <v>650</v>
      </c>
      <c r="K289" s="6" t="s">
        <v>621</v>
      </c>
      <c r="L289" s="6" t="s">
        <v>625</v>
      </c>
      <c r="M289" s="18">
        <f>Таблица1[[#This Row],[Дата окончания ]]-7</f>
        <v>46219</v>
      </c>
      <c r="N289" s="18">
        <f>Таблица1[[#This Row],[Дата окончания ]]-5</f>
        <v>46221</v>
      </c>
      <c r="O289" s="15">
        <f>Таблица1[[#This Row],[Дата окончания ]]-1</f>
        <v>46225</v>
      </c>
      <c r="P289" s="6" t="s">
        <v>652</v>
      </c>
    </row>
    <row r="290" spans="1:16" ht="124" x14ac:dyDescent="0.35">
      <c r="A290" s="6" t="s">
        <v>620</v>
      </c>
      <c r="B290" s="14" t="s">
        <v>152</v>
      </c>
      <c r="C290" s="6" t="s">
        <v>626</v>
      </c>
      <c r="D290" s="6" t="s">
        <v>106</v>
      </c>
      <c r="E290" s="6" t="s">
        <v>648</v>
      </c>
      <c r="F290" s="6" t="s">
        <v>649</v>
      </c>
      <c r="G290" s="22">
        <v>16016.89</v>
      </c>
      <c r="H290" s="15">
        <v>46188</v>
      </c>
      <c r="I290" s="18">
        <v>46227</v>
      </c>
      <c r="J290" s="6" t="s">
        <v>650</v>
      </c>
      <c r="K290" s="6" t="s">
        <v>621</v>
      </c>
      <c r="L290" s="6" t="s">
        <v>625</v>
      </c>
      <c r="M290" s="18">
        <f>Таблица1[[#This Row],[Дата окончания ]]-7</f>
        <v>46220</v>
      </c>
      <c r="N290" s="18">
        <f>Таблица1[[#This Row],[Дата окончания ]]-5</f>
        <v>46222</v>
      </c>
      <c r="O290" s="15">
        <f>Таблица1[[#This Row],[Дата окончания ]]-1</f>
        <v>46226</v>
      </c>
      <c r="P290" s="6" t="s">
        <v>653</v>
      </c>
    </row>
    <row r="291" spans="1:16" ht="77.5" x14ac:dyDescent="0.35">
      <c r="A291" s="6" t="s">
        <v>641</v>
      </c>
      <c r="B291" s="14" t="s">
        <v>162</v>
      </c>
      <c r="C291" s="6" t="s">
        <v>642</v>
      </c>
      <c r="D291" s="6" t="s">
        <v>643</v>
      </c>
      <c r="E291" s="6" t="s">
        <v>644</v>
      </c>
      <c r="F291" s="6" t="s">
        <v>645</v>
      </c>
      <c r="G291" s="22">
        <v>12641.3</v>
      </c>
      <c r="H291" s="15">
        <v>46193</v>
      </c>
      <c r="I291" s="18">
        <v>46227</v>
      </c>
      <c r="J291" s="6" t="s">
        <v>646</v>
      </c>
      <c r="K291" s="6" t="s">
        <v>110</v>
      </c>
      <c r="L291" s="6" t="s">
        <v>647</v>
      </c>
      <c r="M291" s="18">
        <f>Таблица1[[#This Row],[Дата окончания ]]-7</f>
        <v>46220</v>
      </c>
      <c r="N291" s="18">
        <f>Таблица1[[#This Row],[Дата окончания ]]-5</f>
        <v>46222</v>
      </c>
      <c r="O291" s="15">
        <f>Таблица1[[#This Row],[Дата окончания ]]-1</f>
        <v>46226</v>
      </c>
      <c r="P291" s="6"/>
    </row>
    <row r="292" spans="1:16" ht="77.5" x14ac:dyDescent="0.35">
      <c r="A292" s="6" t="s">
        <v>641</v>
      </c>
      <c r="B292" s="14" t="s">
        <v>164</v>
      </c>
      <c r="C292" s="6" t="s">
        <v>642</v>
      </c>
      <c r="D292" s="6" t="s">
        <v>643</v>
      </c>
      <c r="E292" s="6" t="s">
        <v>644</v>
      </c>
      <c r="F292" s="6" t="s">
        <v>645</v>
      </c>
      <c r="G292" s="22">
        <v>8913.7000000000007</v>
      </c>
      <c r="H292" s="15">
        <v>46193</v>
      </c>
      <c r="I292" s="18">
        <v>46228</v>
      </c>
      <c r="J292" s="6" t="s">
        <v>646</v>
      </c>
      <c r="K292" s="6" t="s">
        <v>110</v>
      </c>
      <c r="L292" s="6" t="s">
        <v>647</v>
      </c>
      <c r="M292" s="18">
        <f>Таблица1[[#This Row],[Дата окончания ]]-7</f>
        <v>46221</v>
      </c>
      <c r="N292" s="18">
        <f>Таблица1[[#This Row],[Дата окончания ]]-5</f>
        <v>46223</v>
      </c>
      <c r="O292" s="15">
        <f>Таблица1[[#This Row],[Дата окончания ]]-1</f>
        <v>46227</v>
      </c>
      <c r="P292" s="6"/>
    </row>
    <row r="293" spans="1:16" ht="77.5" x14ac:dyDescent="0.35">
      <c r="A293" s="6" t="s">
        <v>641</v>
      </c>
      <c r="B293" s="14" t="s">
        <v>166</v>
      </c>
      <c r="C293" s="6" t="s">
        <v>642</v>
      </c>
      <c r="D293" s="6" t="s">
        <v>643</v>
      </c>
      <c r="E293" s="6" t="s">
        <v>644</v>
      </c>
      <c r="F293" s="6" t="s">
        <v>645</v>
      </c>
      <c r="G293" s="22">
        <v>9776.1</v>
      </c>
      <c r="H293" s="15">
        <v>46193</v>
      </c>
      <c r="I293" s="18">
        <v>46229</v>
      </c>
      <c r="J293" s="6" t="s">
        <v>646</v>
      </c>
      <c r="K293" s="6" t="s">
        <v>110</v>
      </c>
      <c r="L293" s="6" t="s">
        <v>647</v>
      </c>
      <c r="M293" s="18">
        <f>Таблица1[[#This Row],[Дата окончания ]]-7</f>
        <v>46222</v>
      </c>
      <c r="N293" s="18">
        <f>Таблица1[[#This Row],[Дата окончания ]]-5</f>
        <v>46224</v>
      </c>
      <c r="O293" s="15">
        <f>Таблица1[[#This Row],[Дата окончания ]]-1</f>
        <v>46228</v>
      </c>
      <c r="P293" s="6"/>
    </row>
    <row r="294" spans="1:16" ht="77.5" x14ac:dyDescent="0.35">
      <c r="A294" s="6" t="s">
        <v>641</v>
      </c>
      <c r="B294" s="14" t="s">
        <v>142</v>
      </c>
      <c r="C294" s="6" t="s">
        <v>642</v>
      </c>
      <c r="D294" s="6" t="s">
        <v>643</v>
      </c>
      <c r="E294" s="6" t="s">
        <v>644</v>
      </c>
      <c r="F294" s="6" t="s">
        <v>645</v>
      </c>
      <c r="G294" s="22">
        <v>5942.4000000000015</v>
      </c>
      <c r="H294" s="15">
        <v>46193</v>
      </c>
      <c r="I294" s="18">
        <v>46229</v>
      </c>
      <c r="J294" s="6" t="s">
        <v>646</v>
      </c>
      <c r="K294" s="6" t="s">
        <v>110</v>
      </c>
      <c r="L294" s="6" t="s">
        <v>647</v>
      </c>
      <c r="M294" s="18">
        <f>Таблица1[[#This Row],[Дата окончания ]]-7</f>
        <v>46222</v>
      </c>
      <c r="N294" s="18">
        <f>Таблица1[[#This Row],[Дата окончания ]]-5</f>
        <v>46224</v>
      </c>
      <c r="O294" s="15">
        <f>Таблица1[[#This Row],[Дата окончания ]]-1</f>
        <v>46228</v>
      </c>
      <c r="P294" s="6"/>
    </row>
    <row r="295" spans="1:16" ht="77.5" x14ac:dyDescent="0.35">
      <c r="A295" s="6" t="s">
        <v>641</v>
      </c>
      <c r="B295" s="14" t="s">
        <v>654</v>
      </c>
      <c r="C295" s="6" t="s">
        <v>642</v>
      </c>
      <c r="D295" s="6" t="s">
        <v>643</v>
      </c>
      <c r="E295" s="6" t="s">
        <v>644</v>
      </c>
      <c r="F295" s="6" t="s">
        <v>645</v>
      </c>
      <c r="G295" s="22">
        <v>64303.9</v>
      </c>
      <c r="H295" s="15">
        <v>46193</v>
      </c>
      <c r="I295" s="18">
        <v>46229</v>
      </c>
      <c r="J295" s="6" t="s">
        <v>646</v>
      </c>
      <c r="K295" s="6" t="s">
        <v>110</v>
      </c>
      <c r="L295" s="6" t="s">
        <v>647</v>
      </c>
      <c r="M295" s="18">
        <f>Таблица1[[#This Row],[Дата окончания ]]-7</f>
        <v>46222</v>
      </c>
      <c r="N295" s="18">
        <f>Таблица1[[#This Row],[Дата окончания ]]-5</f>
        <v>46224</v>
      </c>
      <c r="O295" s="15">
        <f>Таблица1[[#This Row],[Дата окончания ]]-1</f>
        <v>46228</v>
      </c>
      <c r="P295" s="6"/>
    </row>
    <row r="296" spans="1:16" ht="124" x14ac:dyDescent="0.35">
      <c r="A296" s="6" t="s">
        <v>620</v>
      </c>
      <c r="B296" s="14" t="s">
        <v>160</v>
      </c>
      <c r="C296" s="6" t="s">
        <v>626</v>
      </c>
      <c r="D296" s="6" t="s">
        <v>106</v>
      </c>
      <c r="E296" s="6" t="s">
        <v>648</v>
      </c>
      <c r="F296" s="6" t="s">
        <v>649</v>
      </c>
      <c r="G296" s="22">
        <v>19681.23</v>
      </c>
      <c r="H296" s="15">
        <v>46188</v>
      </c>
      <c r="I296" s="18">
        <v>46232</v>
      </c>
      <c r="J296" s="6" t="s">
        <v>650</v>
      </c>
      <c r="K296" s="6" t="s">
        <v>621</v>
      </c>
      <c r="L296" s="6" t="s">
        <v>625</v>
      </c>
      <c r="M296" s="18">
        <f>Таблица1[[#This Row],[Дата окончания ]]-7</f>
        <v>46225</v>
      </c>
      <c r="N296" s="18">
        <f>Таблица1[[#This Row],[Дата окончания ]]-5</f>
        <v>46227</v>
      </c>
      <c r="O296" s="15">
        <f>Таблица1[[#This Row],[Дата окончания ]]-1</f>
        <v>46231</v>
      </c>
      <c r="P296" s="6" t="s">
        <v>655</v>
      </c>
    </row>
    <row r="297" spans="1:16" ht="77.5" x14ac:dyDescent="0.35">
      <c r="A297" s="6" t="s">
        <v>656</v>
      </c>
      <c r="B297" s="14" t="s">
        <v>157</v>
      </c>
      <c r="C297" s="6" t="s">
        <v>657</v>
      </c>
      <c r="D297" s="6" t="s">
        <v>658</v>
      </c>
      <c r="E297" s="6" t="s">
        <v>661</v>
      </c>
      <c r="F297" s="6" t="s">
        <v>662</v>
      </c>
      <c r="G297" s="22">
        <v>693.16</v>
      </c>
      <c r="H297" s="15">
        <v>46223</v>
      </c>
      <c r="I297" s="18">
        <v>46233</v>
      </c>
      <c r="J297" s="6" t="s">
        <v>659</v>
      </c>
      <c r="K297" s="6" t="s">
        <v>110</v>
      </c>
      <c r="L297" s="6" t="s">
        <v>600</v>
      </c>
      <c r="M297" s="18">
        <f>Таблица1[[#This Row],[Дата окончания ]]-7</f>
        <v>46226</v>
      </c>
      <c r="N297" s="18">
        <f>Таблица1[[#This Row],[Дата окончания ]]-5</f>
        <v>46228</v>
      </c>
      <c r="O297" s="15">
        <f>Таблица1[[#This Row],[Дата окончания ]]-1</f>
        <v>46232</v>
      </c>
      <c r="P297" s="6" t="s">
        <v>660</v>
      </c>
    </row>
    <row r="298" spans="1:16" ht="124" x14ac:dyDescent="0.35">
      <c r="A298" s="6" t="s">
        <v>620</v>
      </c>
      <c r="B298" s="14" t="s">
        <v>161</v>
      </c>
      <c r="C298" s="6" t="s">
        <v>626</v>
      </c>
      <c r="D298" s="6" t="s">
        <v>106</v>
      </c>
      <c r="E298" s="6" t="s">
        <v>648</v>
      </c>
      <c r="F298" s="6" t="s">
        <v>649</v>
      </c>
      <c r="G298" s="22">
        <v>19074.95</v>
      </c>
      <c r="H298" s="15">
        <v>46188</v>
      </c>
      <c r="I298" s="18">
        <v>46233</v>
      </c>
      <c r="J298" s="6" t="s">
        <v>650</v>
      </c>
      <c r="K298" s="6" t="s">
        <v>621</v>
      </c>
      <c r="L298" s="6" t="s">
        <v>625</v>
      </c>
      <c r="M298" s="18">
        <f>Таблица1[[#This Row],[Дата окончания ]]-7</f>
        <v>46226</v>
      </c>
      <c r="N298" s="18">
        <f>Таблица1[[#This Row],[Дата окончания ]]-5</f>
        <v>46228</v>
      </c>
      <c r="O298" s="15">
        <f>Таблица1[[#This Row],[Дата окончания ]]-1</f>
        <v>46232</v>
      </c>
      <c r="P298" s="6" t="s">
        <v>663</v>
      </c>
    </row>
    <row r="299" spans="1:16" ht="93" x14ac:dyDescent="0.35">
      <c r="A299" s="16" t="s">
        <v>664</v>
      </c>
      <c r="B299" s="14" t="s">
        <v>665</v>
      </c>
      <c r="C299" s="6" t="s">
        <v>666</v>
      </c>
      <c r="D299" s="6" t="s">
        <v>667</v>
      </c>
      <c r="E299" s="6" t="s">
        <v>668</v>
      </c>
      <c r="F299" s="6" t="s">
        <v>669</v>
      </c>
      <c r="G299" s="22">
        <v>18436.990000000002</v>
      </c>
      <c r="H299" s="15">
        <v>46227</v>
      </c>
      <c r="I299" s="18">
        <v>46238</v>
      </c>
      <c r="J299" s="6" t="s">
        <v>236</v>
      </c>
      <c r="K299" s="6" t="s">
        <v>621</v>
      </c>
      <c r="L299" s="6" t="s">
        <v>670</v>
      </c>
      <c r="M299" s="18">
        <f>Таблица1[[#This Row],[Дата окончания ]]-7</f>
        <v>46231</v>
      </c>
      <c r="N299" s="18">
        <f>Таблица1[[#This Row],[Дата окончания ]]-5</f>
        <v>46233</v>
      </c>
      <c r="O299" s="15">
        <f>Таблица1[[#This Row],[Дата окончания ]]-1</f>
        <v>46237</v>
      </c>
      <c r="P299" s="6" t="s">
        <v>671</v>
      </c>
    </row>
    <row r="300" spans="1:16" ht="124" x14ac:dyDescent="0.35">
      <c r="A300" s="6" t="s">
        <v>620</v>
      </c>
      <c r="B300" s="14" t="s">
        <v>216</v>
      </c>
      <c r="C300" s="6" t="s">
        <v>626</v>
      </c>
      <c r="D300" s="6" t="s">
        <v>106</v>
      </c>
      <c r="E300" s="6" t="s">
        <v>648</v>
      </c>
      <c r="F300" s="6" t="s">
        <v>649</v>
      </c>
      <c r="G300" s="22">
        <v>18303.509999999998</v>
      </c>
      <c r="H300" s="15">
        <v>46188</v>
      </c>
      <c r="I300" s="18">
        <v>46238</v>
      </c>
      <c r="J300" s="6" t="s">
        <v>650</v>
      </c>
      <c r="K300" s="6" t="s">
        <v>621</v>
      </c>
      <c r="L300" s="6" t="s">
        <v>625</v>
      </c>
      <c r="M300" s="18">
        <f>Таблица1[[#This Row],[Дата окончания ]]-7</f>
        <v>46231</v>
      </c>
      <c r="N300" s="18">
        <f>Таблица1[[#This Row],[Дата окончания ]]-5</f>
        <v>46233</v>
      </c>
      <c r="O300" s="15">
        <f>Таблица1[[#This Row],[Дата окончания ]]-1</f>
        <v>46237</v>
      </c>
      <c r="P300" s="6" t="s">
        <v>672</v>
      </c>
    </row>
    <row r="301" spans="1:16" ht="77.5" x14ac:dyDescent="0.35">
      <c r="A301" s="6" t="s">
        <v>673</v>
      </c>
      <c r="B301" s="14" t="s">
        <v>157</v>
      </c>
      <c r="C301" s="6" t="s">
        <v>675</v>
      </c>
      <c r="D301" s="6" t="s">
        <v>676</v>
      </c>
      <c r="E301" s="6" t="s">
        <v>674</v>
      </c>
      <c r="F301" s="6" t="s">
        <v>677</v>
      </c>
      <c r="G301" s="22">
        <v>16923.48</v>
      </c>
      <c r="H301" s="15">
        <v>46223</v>
      </c>
      <c r="I301" s="18">
        <v>46239</v>
      </c>
      <c r="J301" s="6" t="s">
        <v>678</v>
      </c>
      <c r="K301" s="6" t="s">
        <v>110</v>
      </c>
      <c r="L301" s="6" t="s">
        <v>679</v>
      </c>
      <c r="M301" s="18">
        <f>Таблица1[[#This Row],[Дата окончания ]]-7</f>
        <v>46232</v>
      </c>
      <c r="N301" s="18">
        <f>Таблица1[[#This Row],[Дата окончания ]]-5</f>
        <v>46234</v>
      </c>
      <c r="O301" s="15">
        <f>Таблица1[[#This Row],[Дата окончания ]]-1</f>
        <v>46238</v>
      </c>
      <c r="P301" s="6" t="s">
        <v>635</v>
      </c>
    </row>
    <row r="302" spans="1:16" ht="93" x14ac:dyDescent="0.35">
      <c r="A302" s="16" t="s">
        <v>664</v>
      </c>
      <c r="B302" s="14" t="s">
        <v>680</v>
      </c>
      <c r="C302" s="6" t="s">
        <v>666</v>
      </c>
      <c r="D302" s="6" t="s">
        <v>667</v>
      </c>
      <c r="E302" s="6" t="s">
        <v>668</v>
      </c>
      <c r="F302" s="6" t="s">
        <v>669</v>
      </c>
      <c r="G302" s="22">
        <v>15452.6</v>
      </c>
      <c r="H302" s="15">
        <v>46227</v>
      </c>
      <c r="I302" s="18">
        <v>46240</v>
      </c>
      <c r="J302" s="6" t="s">
        <v>236</v>
      </c>
      <c r="K302" s="6" t="s">
        <v>621</v>
      </c>
      <c r="L302" s="6" t="s">
        <v>670</v>
      </c>
      <c r="M302" s="18">
        <f>Таблица1[[#This Row],[Дата окончания ]]-7</f>
        <v>46233</v>
      </c>
      <c r="N302" s="18">
        <f>Таблица1[[#This Row],[Дата окончания ]]-5</f>
        <v>46235</v>
      </c>
      <c r="O302" s="15">
        <f>Таблица1[[#This Row],[Дата окончания ]]-1</f>
        <v>46239</v>
      </c>
      <c r="P302" s="6" t="s">
        <v>681</v>
      </c>
    </row>
    <row r="303" spans="1:16" ht="77.5" x14ac:dyDescent="0.35">
      <c r="A303" s="6" t="s">
        <v>673</v>
      </c>
      <c r="B303" s="14" t="s">
        <v>159</v>
      </c>
      <c r="C303" s="6" t="s">
        <v>675</v>
      </c>
      <c r="D303" s="6" t="s">
        <v>676</v>
      </c>
      <c r="E303" s="6" t="s">
        <v>674</v>
      </c>
      <c r="F303" s="6" t="s">
        <v>677</v>
      </c>
      <c r="G303" s="22">
        <v>19916.12</v>
      </c>
      <c r="H303" s="15">
        <v>46223</v>
      </c>
      <c r="I303" s="18">
        <v>46240</v>
      </c>
      <c r="J303" s="6" t="s">
        <v>678</v>
      </c>
      <c r="K303" s="6" t="s">
        <v>110</v>
      </c>
      <c r="L303" s="6" t="s">
        <v>679</v>
      </c>
      <c r="M303" s="18">
        <f>Таблица1[[#This Row],[Дата окончания ]]-7</f>
        <v>46233</v>
      </c>
      <c r="N303" s="18">
        <f>Таблица1[[#This Row],[Дата окончания ]]-5</f>
        <v>46235</v>
      </c>
      <c r="O303" s="15">
        <f>Таблица1[[#This Row],[Дата окончания ]]-1</f>
        <v>46239</v>
      </c>
      <c r="P303" s="6" t="s">
        <v>682</v>
      </c>
    </row>
    <row r="304" spans="1:16" ht="62" x14ac:dyDescent="0.35">
      <c r="A304" s="6" t="s">
        <v>683</v>
      </c>
      <c r="B304" s="14" t="s">
        <v>157</v>
      </c>
      <c r="C304" s="6" t="s">
        <v>567</v>
      </c>
      <c r="D304" s="6" t="s">
        <v>566</v>
      </c>
      <c r="E304" s="6" t="s">
        <v>685</v>
      </c>
      <c r="F304" s="6" t="s">
        <v>687</v>
      </c>
      <c r="G304" s="22">
        <v>14879.500000000002</v>
      </c>
      <c r="H304" s="15">
        <v>46223</v>
      </c>
      <c r="I304" s="18">
        <v>46241</v>
      </c>
      <c r="J304" s="6" t="s">
        <v>695</v>
      </c>
      <c r="K304" s="6" t="s">
        <v>110</v>
      </c>
      <c r="L304" s="6" t="s">
        <v>600</v>
      </c>
      <c r="M304" s="18">
        <f>Таблица1[[#This Row],[Дата окончания ]]-7</f>
        <v>46234</v>
      </c>
      <c r="N304" s="18">
        <f>Таблица1[[#This Row],[Дата окончания ]]-5</f>
        <v>46236</v>
      </c>
      <c r="O304" s="15">
        <f>Таблица1[[#This Row],[Дата окончания ]]-1</f>
        <v>46240</v>
      </c>
      <c r="P304" s="6" t="s">
        <v>689</v>
      </c>
    </row>
    <row r="305" spans="1:16" ht="62" x14ac:dyDescent="0.35">
      <c r="A305" s="6" t="s">
        <v>684</v>
      </c>
      <c r="B305" s="14" t="s">
        <v>157</v>
      </c>
      <c r="C305" s="6" t="s">
        <v>567</v>
      </c>
      <c r="D305" s="6" t="s">
        <v>566</v>
      </c>
      <c r="E305" s="6" t="s">
        <v>686</v>
      </c>
      <c r="F305" s="6" t="s">
        <v>688</v>
      </c>
      <c r="G305" s="22">
        <v>1442.2</v>
      </c>
      <c r="H305" s="15">
        <v>46223</v>
      </c>
      <c r="I305" s="18">
        <v>46241</v>
      </c>
      <c r="J305" s="6" t="s">
        <v>694</v>
      </c>
      <c r="K305" s="6" t="s">
        <v>110</v>
      </c>
      <c r="L305" s="6" t="s">
        <v>486</v>
      </c>
      <c r="M305" s="18">
        <f>Таблица1[[#This Row],[Дата окончания ]]-7</f>
        <v>46234</v>
      </c>
      <c r="N305" s="18"/>
      <c r="O305" s="15">
        <f>Таблица1[[#This Row],[Дата окончания ]]-1</f>
        <v>46240</v>
      </c>
      <c r="P305" s="6" t="s">
        <v>466</v>
      </c>
    </row>
    <row r="306" spans="1:16" ht="62" x14ac:dyDescent="0.35">
      <c r="A306" s="6" t="s">
        <v>690</v>
      </c>
      <c r="B306" s="14" t="s">
        <v>157</v>
      </c>
      <c r="C306" s="6" t="s">
        <v>567</v>
      </c>
      <c r="D306" s="6" t="s">
        <v>566</v>
      </c>
      <c r="E306" s="6" t="s">
        <v>691</v>
      </c>
      <c r="F306" s="6" t="s">
        <v>692</v>
      </c>
      <c r="G306" s="22">
        <v>3730</v>
      </c>
      <c r="H306" s="15">
        <v>46223</v>
      </c>
      <c r="I306" s="18">
        <v>46241</v>
      </c>
      <c r="J306" s="6" t="s">
        <v>693</v>
      </c>
      <c r="K306" s="6" t="s">
        <v>110</v>
      </c>
      <c r="L306" s="6" t="s">
        <v>207</v>
      </c>
      <c r="M306" s="18">
        <f>Таблица1[[#This Row],[Дата окончания ]]-7</f>
        <v>46234</v>
      </c>
      <c r="N306" s="18"/>
      <c r="O306" s="15"/>
      <c r="P306" s="6" t="s">
        <v>696</v>
      </c>
    </row>
    <row r="307" spans="1:16" ht="124" x14ac:dyDescent="0.35">
      <c r="A307" s="6" t="s">
        <v>620</v>
      </c>
      <c r="B307" s="14" t="s">
        <v>220</v>
      </c>
      <c r="C307" s="6" t="s">
        <v>626</v>
      </c>
      <c r="D307" s="6" t="s">
        <v>106</v>
      </c>
      <c r="E307" s="6" t="s">
        <v>648</v>
      </c>
      <c r="F307" s="6" t="s">
        <v>649</v>
      </c>
      <c r="G307" s="22">
        <v>16012.44</v>
      </c>
      <c r="H307" s="15">
        <v>46188</v>
      </c>
      <c r="I307" s="18">
        <v>46241</v>
      </c>
      <c r="J307" s="6" t="s">
        <v>650</v>
      </c>
      <c r="K307" s="6" t="s">
        <v>621</v>
      </c>
      <c r="L307" s="6" t="s">
        <v>625</v>
      </c>
      <c r="M307" s="18">
        <f>Таблица1[[#This Row],[Дата окончания ]]-7</f>
        <v>46234</v>
      </c>
      <c r="N307" s="18">
        <f>Таблица1[[#This Row],[Дата окончания ]]-5</f>
        <v>46236</v>
      </c>
      <c r="O307" s="15">
        <f>Таблица1[[#This Row],[Дата окончания ]]-1</f>
        <v>46240</v>
      </c>
      <c r="P307" s="6" t="s">
        <v>697</v>
      </c>
    </row>
    <row r="308" spans="1:16" ht="93" x14ac:dyDescent="0.35">
      <c r="A308" s="16" t="s">
        <v>664</v>
      </c>
      <c r="B308" s="14" t="s">
        <v>698</v>
      </c>
      <c r="C308" s="6" t="s">
        <v>666</v>
      </c>
      <c r="D308" s="6" t="s">
        <v>667</v>
      </c>
      <c r="E308" s="6" t="s">
        <v>668</v>
      </c>
      <c r="F308" s="6" t="s">
        <v>669</v>
      </c>
      <c r="G308" s="22">
        <v>17671.850000000006</v>
      </c>
      <c r="H308" s="15">
        <v>46227</v>
      </c>
      <c r="I308" s="18">
        <v>46245</v>
      </c>
      <c r="J308" s="6" t="s">
        <v>236</v>
      </c>
      <c r="K308" s="6" t="s">
        <v>621</v>
      </c>
      <c r="L308" s="6" t="s">
        <v>670</v>
      </c>
      <c r="M308" s="18">
        <f>Таблица1[[#This Row],[Дата окончания ]]-7</f>
        <v>46238</v>
      </c>
      <c r="N308" s="18">
        <f>Таблица1[[#This Row],[Дата окончания ]]-5</f>
        <v>46240</v>
      </c>
      <c r="O308" s="15">
        <f>Таблица1[[#This Row],[Дата окончания ]]-1</f>
        <v>46244</v>
      </c>
      <c r="P308" s="6" t="s">
        <v>699</v>
      </c>
    </row>
    <row r="309" spans="1:16" ht="62" x14ac:dyDescent="0.35">
      <c r="A309" s="6" t="s">
        <v>700</v>
      </c>
      <c r="B309" s="14" t="s">
        <v>157</v>
      </c>
      <c r="C309" s="6" t="s">
        <v>703</v>
      </c>
      <c r="D309" s="6" t="s">
        <v>702</v>
      </c>
      <c r="E309" s="6" t="s">
        <v>701</v>
      </c>
      <c r="F309" s="6" t="s">
        <v>704</v>
      </c>
      <c r="G309" s="22">
        <v>15098.500000000002</v>
      </c>
      <c r="H309" s="15">
        <v>46227</v>
      </c>
      <c r="I309" s="18">
        <v>46246</v>
      </c>
      <c r="J309" s="6" t="s">
        <v>236</v>
      </c>
      <c r="K309" s="6" t="s">
        <v>705</v>
      </c>
      <c r="L309" s="6" t="s">
        <v>706</v>
      </c>
      <c r="M309" s="18">
        <f>Таблица1[[#This Row],[Дата окончания ]]-7</f>
        <v>46239</v>
      </c>
      <c r="N309" s="18">
        <f>Таблица1[[#This Row],[Дата окончания ]]-5</f>
        <v>46241</v>
      </c>
      <c r="O309" s="15">
        <f>Таблица1[[#This Row],[Дата окончания ]]-1</f>
        <v>46245</v>
      </c>
      <c r="P309" s="6" t="s">
        <v>708</v>
      </c>
    </row>
    <row r="310" spans="1:16" ht="77.5" x14ac:dyDescent="0.35">
      <c r="A310" s="6" t="s">
        <v>673</v>
      </c>
      <c r="B310" s="14" t="s">
        <v>162</v>
      </c>
      <c r="C310" s="6" t="s">
        <v>675</v>
      </c>
      <c r="D310" s="6" t="s">
        <v>676</v>
      </c>
      <c r="E310" s="6" t="s">
        <v>674</v>
      </c>
      <c r="F310" s="6" t="s">
        <v>677</v>
      </c>
      <c r="G310" s="22">
        <v>16987.669999999998</v>
      </c>
      <c r="H310" s="15">
        <v>46223</v>
      </c>
      <c r="I310" s="18">
        <v>46246</v>
      </c>
      <c r="J310" s="6" t="s">
        <v>678</v>
      </c>
      <c r="K310" s="6" t="s">
        <v>110</v>
      </c>
      <c r="L310" s="6" t="s">
        <v>679</v>
      </c>
      <c r="M310" s="18">
        <f>Таблица1[[#This Row],[Дата окончания ]]-7</f>
        <v>46239</v>
      </c>
      <c r="N310" s="18">
        <f>Таблица1[[#This Row],[Дата окончания ]]-5</f>
        <v>46241</v>
      </c>
      <c r="O310" s="15">
        <f>Таблица1[[#This Row],[Дата окончания ]]-1</f>
        <v>46245</v>
      </c>
      <c r="P310" s="6" t="s">
        <v>707</v>
      </c>
    </row>
    <row r="311" spans="1:16" ht="93" x14ac:dyDescent="0.35">
      <c r="A311" s="6" t="s">
        <v>709</v>
      </c>
      <c r="B311" s="14" t="s">
        <v>157</v>
      </c>
      <c r="C311" s="6" t="s">
        <v>567</v>
      </c>
      <c r="D311" s="6" t="s">
        <v>566</v>
      </c>
      <c r="E311" s="6" t="s">
        <v>711</v>
      </c>
      <c r="F311" s="6" t="s">
        <v>712</v>
      </c>
      <c r="G311" s="22">
        <v>12106.8</v>
      </c>
      <c r="H311" s="15">
        <v>46223</v>
      </c>
      <c r="I311" s="18">
        <v>46251</v>
      </c>
      <c r="J311" s="6" t="s">
        <v>713</v>
      </c>
      <c r="K311" s="6" t="s">
        <v>110</v>
      </c>
      <c r="L311" s="6" t="s">
        <v>714</v>
      </c>
      <c r="M311" s="18">
        <f>Таблица1[[#This Row],[Дата окончания ]]-7</f>
        <v>46244</v>
      </c>
      <c r="N311" s="18">
        <f>Таблица1[[#This Row],[Дата окончания ]]-5</f>
        <v>46246</v>
      </c>
      <c r="O311" s="15">
        <f>Таблица1[[#This Row],[Дата окончания ]]-1</f>
        <v>46250</v>
      </c>
      <c r="P311" s="6" t="s">
        <v>689</v>
      </c>
    </row>
    <row r="312" spans="1:16" ht="77.5" x14ac:dyDescent="0.35">
      <c r="A312" s="6" t="s">
        <v>710</v>
      </c>
      <c r="B312" s="14" t="s">
        <v>157</v>
      </c>
      <c r="C312" s="6" t="s">
        <v>567</v>
      </c>
      <c r="D312" s="6" t="s">
        <v>566</v>
      </c>
      <c r="E312" s="6" t="s">
        <v>715</v>
      </c>
      <c r="F312" s="6" t="s">
        <v>716</v>
      </c>
      <c r="G312" s="22">
        <v>2512.6</v>
      </c>
      <c r="H312" s="15">
        <v>46228</v>
      </c>
      <c r="I312" s="18">
        <v>46251</v>
      </c>
      <c r="J312" s="6" t="s">
        <v>717</v>
      </c>
      <c r="K312" s="6" t="s">
        <v>110</v>
      </c>
      <c r="L312" s="6" t="s">
        <v>600</v>
      </c>
      <c r="M312" s="18">
        <f>Таблица1[[#This Row],[Дата окончания ]]-7</f>
        <v>46244</v>
      </c>
      <c r="N312" s="18">
        <f>Таблица1[[#This Row],[Дата окончания ]]-5</f>
        <v>46246</v>
      </c>
      <c r="O312" s="15">
        <f>Таблица1[[#This Row],[Дата окончания ]]-1</f>
        <v>46250</v>
      </c>
      <c r="P312" s="6" t="s">
        <v>718</v>
      </c>
    </row>
    <row r="313" spans="1:16" ht="62" x14ac:dyDescent="0.35">
      <c r="A313" s="6" t="s">
        <v>690</v>
      </c>
      <c r="B313" s="14" t="s">
        <v>159</v>
      </c>
      <c r="C313" s="6" t="s">
        <v>567</v>
      </c>
      <c r="D313" s="6" t="s">
        <v>566</v>
      </c>
      <c r="E313" s="6" t="s">
        <v>691</v>
      </c>
      <c r="F313" s="6" t="s">
        <v>692</v>
      </c>
      <c r="G313" s="22">
        <v>4753.6000000000004</v>
      </c>
      <c r="H313" s="15">
        <v>46223</v>
      </c>
      <c r="I313" s="18">
        <v>46251</v>
      </c>
      <c r="J313" s="6" t="s">
        <v>693</v>
      </c>
      <c r="K313" s="6" t="s">
        <v>110</v>
      </c>
      <c r="L313" s="6" t="s">
        <v>207</v>
      </c>
      <c r="M313" s="18">
        <f>Таблица1[[#This Row],[Дата окончания ]]-7</f>
        <v>46244</v>
      </c>
      <c r="N313" s="18"/>
      <c r="O313" s="15">
        <f>Таблица1[[#This Row],[Дата окончания ]]-1</f>
        <v>46250</v>
      </c>
      <c r="P313" s="6" t="s">
        <v>719</v>
      </c>
    </row>
    <row r="314" spans="1:16" ht="62" x14ac:dyDescent="0.35">
      <c r="A314" s="6" t="s">
        <v>684</v>
      </c>
      <c r="B314" s="14" t="s">
        <v>159</v>
      </c>
      <c r="C314" s="6" t="s">
        <v>567</v>
      </c>
      <c r="D314" s="6" t="s">
        <v>566</v>
      </c>
      <c r="E314" s="6" t="s">
        <v>686</v>
      </c>
      <c r="F314" s="6" t="s">
        <v>688</v>
      </c>
      <c r="G314" s="22">
        <v>346.4</v>
      </c>
      <c r="H314" s="15">
        <v>46223</v>
      </c>
      <c r="I314" s="18">
        <v>46251</v>
      </c>
      <c r="J314" s="6" t="s">
        <v>694</v>
      </c>
      <c r="K314" s="6" t="s">
        <v>110</v>
      </c>
      <c r="L314" s="6" t="s">
        <v>486</v>
      </c>
      <c r="M314" s="18">
        <f>Таблица1[[#This Row],[Дата окончания ]]-7</f>
        <v>46244</v>
      </c>
      <c r="N314" s="18"/>
      <c r="O314" s="15">
        <f>Таблица1[[#This Row],[Дата окончания ]]-1</f>
        <v>46250</v>
      </c>
      <c r="P314" s="6" t="s">
        <v>720</v>
      </c>
    </row>
    <row r="315" spans="1:16" ht="93" x14ac:dyDescent="0.35">
      <c r="A315" s="6" t="s">
        <v>664</v>
      </c>
      <c r="B315" s="14" t="s">
        <v>721</v>
      </c>
      <c r="C315" s="6" t="s">
        <v>666</v>
      </c>
      <c r="D315" s="6" t="s">
        <v>667</v>
      </c>
      <c r="E315" s="6" t="s">
        <v>668</v>
      </c>
      <c r="F315" s="6" t="s">
        <v>669</v>
      </c>
      <c r="G315" s="22">
        <v>16463.73</v>
      </c>
      <c r="H315" s="15">
        <v>46227</v>
      </c>
      <c r="I315" s="18">
        <v>46251</v>
      </c>
      <c r="J315" s="6" t="s">
        <v>236</v>
      </c>
      <c r="K315" s="6" t="s">
        <v>621</v>
      </c>
      <c r="L315" s="6" t="s">
        <v>670</v>
      </c>
      <c r="M315" s="18">
        <f>Таблица1[[#This Row],[Дата окончания ]]-7</f>
        <v>46244</v>
      </c>
      <c r="N315" s="18">
        <f>Таблица1[[#This Row],[Дата окончания ]]-5</f>
        <v>46246</v>
      </c>
      <c r="O315" s="15">
        <f>Таблица1[[#This Row],[Дата окончания ]]-1</f>
        <v>46250</v>
      </c>
      <c r="P315" s="6" t="s">
        <v>722</v>
      </c>
    </row>
    <row r="316" spans="1:16" ht="62" x14ac:dyDescent="0.35">
      <c r="A316" s="6" t="s">
        <v>700</v>
      </c>
      <c r="B316" s="14" t="s">
        <v>159</v>
      </c>
      <c r="C316" s="6" t="s">
        <v>703</v>
      </c>
      <c r="D316" s="6" t="s">
        <v>702</v>
      </c>
      <c r="E316" s="6" t="s">
        <v>701</v>
      </c>
      <c r="F316" s="6" t="s">
        <v>704</v>
      </c>
      <c r="G316" s="22">
        <v>16417.7</v>
      </c>
      <c r="H316" s="15">
        <v>46227</v>
      </c>
      <c r="I316" s="18">
        <v>46253</v>
      </c>
      <c r="J316" s="6" t="s">
        <v>236</v>
      </c>
      <c r="K316" s="6" t="s">
        <v>705</v>
      </c>
      <c r="L316" s="6" t="s">
        <v>706</v>
      </c>
      <c r="M316" s="18">
        <f>Таблица1[[#This Row],[Дата окончания ]]-7</f>
        <v>46246</v>
      </c>
      <c r="N316" s="18">
        <f>Таблица1[[#This Row],[Дата окончания ]]-5</f>
        <v>46248</v>
      </c>
      <c r="O316" s="15">
        <f>Таблица1[[#This Row],[Дата окончания ]]-1</f>
        <v>46252</v>
      </c>
      <c r="P316" s="6" t="s">
        <v>723</v>
      </c>
    </row>
    <row r="317" spans="1:16" ht="77.5" x14ac:dyDescent="0.35">
      <c r="A317" s="6" t="s">
        <v>710</v>
      </c>
      <c r="B317" s="14" t="s">
        <v>159</v>
      </c>
      <c r="C317" s="6" t="s">
        <v>567</v>
      </c>
      <c r="D317" s="6" t="s">
        <v>566</v>
      </c>
      <c r="E317" s="6" t="s">
        <v>715</v>
      </c>
      <c r="F317" s="6" t="s">
        <v>716</v>
      </c>
      <c r="G317" s="22">
        <v>203.20000000000002</v>
      </c>
      <c r="H317" s="15">
        <v>46228</v>
      </c>
      <c r="I317" s="18">
        <v>46252</v>
      </c>
      <c r="J317" s="6" t="s">
        <v>717</v>
      </c>
      <c r="K317" s="6" t="s">
        <v>110</v>
      </c>
      <c r="L317" s="6" t="s">
        <v>600</v>
      </c>
      <c r="M317" s="18">
        <f>Таблица1[[#This Row],[Дата окончания ]]-7</f>
        <v>46245</v>
      </c>
      <c r="N317" s="18"/>
      <c r="O317" s="15"/>
      <c r="P317" s="6" t="s">
        <v>720</v>
      </c>
    </row>
    <row r="318" spans="1:16" ht="62" x14ac:dyDescent="0.35">
      <c r="A318" s="6" t="s">
        <v>700</v>
      </c>
      <c r="B318" s="14" t="s">
        <v>162</v>
      </c>
      <c r="C318" s="6" t="s">
        <v>703</v>
      </c>
      <c r="D318" s="6" t="s">
        <v>702</v>
      </c>
      <c r="E318" s="6" t="s">
        <v>701</v>
      </c>
      <c r="F318" s="6" t="s">
        <v>704</v>
      </c>
      <c r="G318" s="22">
        <v>18145.599999999999</v>
      </c>
      <c r="H318" s="15">
        <v>46227</v>
      </c>
      <c r="I318" s="18">
        <v>46253</v>
      </c>
      <c r="J318" s="6" t="s">
        <v>236</v>
      </c>
      <c r="K318" s="6" t="s">
        <v>705</v>
      </c>
      <c r="L318" s="6" t="s">
        <v>706</v>
      </c>
      <c r="M318" s="18">
        <f>Таблица1[[#This Row],[Дата окончания ]]-7</f>
        <v>46246</v>
      </c>
      <c r="N318" s="18">
        <f>Таблица1[[#This Row],[Дата окончания ]]-5</f>
        <v>46248</v>
      </c>
      <c r="O318" s="15">
        <f>Таблица1[[#This Row],[Дата окончания ]]-1</f>
        <v>46252</v>
      </c>
      <c r="P318" s="6" t="s">
        <v>724</v>
      </c>
    </row>
    <row r="319" spans="1:16" ht="124" x14ac:dyDescent="0.35">
      <c r="A319" s="6" t="s">
        <v>620</v>
      </c>
      <c r="B319" s="14" t="s">
        <v>223</v>
      </c>
      <c r="C319" s="6" t="s">
        <v>626</v>
      </c>
      <c r="D319" s="6" t="s">
        <v>106</v>
      </c>
      <c r="E319" s="6" t="s">
        <v>648</v>
      </c>
      <c r="F319" s="6" t="s">
        <v>649</v>
      </c>
      <c r="G319" s="22">
        <v>12265.61</v>
      </c>
      <c r="H319" s="15">
        <v>46188</v>
      </c>
      <c r="I319" s="18">
        <v>46253</v>
      </c>
      <c r="J319" s="6" t="s">
        <v>650</v>
      </c>
      <c r="K319" s="6" t="s">
        <v>621</v>
      </c>
      <c r="L319" s="6" t="s">
        <v>625</v>
      </c>
      <c r="M319" s="18">
        <f>Таблица1[[#This Row],[Дата окончания ]]-7</f>
        <v>46246</v>
      </c>
      <c r="N319" s="18">
        <f>Таблица1[[#This Row],[Дата окончания ]]-5</f>
        <v>46248</v>
      </c>
      <c r="O319" s="15">
        <f>Таблица1[[#This Row],[Дата окончания ]]-1</f>
        <v>46252</v>
      </c>
      <c r="P319" s="6" t="s">
        <v>725</v>
      </c>
    </row>
    <row r="320" spans="1:16" ht="62" x14ac:dyDescent="0.35">
      <c r="A320" s="6" t="s">
        <v>690</v>
      </c>
      <c r="B320" s="14" t="s">
        <v>162</v>
      </c>
      <c r="C320" s="6" t="s">
        <v>567</v>
      </c>
      <c r="D320" s="6" t="s">
        <v>566</v>
      </c>
      <c r="E320" s="6" t="s">
        <v>691</v>
      </c>
      <c r="F320" s="6" t="s">
        <v>692</v>
      </c>
      <c r="G320" s="22">
        <v>5604.4999999999991</v>
      </c>
      <c r="H320" s="15">
        <v>46223</v>
      </c>
      <c r="I320" s="18">
        <v>46254</v>
      </c>
      <c r="J320" s="6" t="s">
        <v>693</v>
      </c>
      <c r="K320" s="6" t="s">
        <v>110</v>
      </c>
      <c r="L320" s="6" t="s">
        <v>207</v>
      </c>
      <c r="M320" s="18">
        <f>Таблица1[[#This Row],[Дата окончания ]]-7</f>
        <v>46247</v>
      </c>
      <c r="N320" s="18">
        <f>Таблица1[[#This Row],[Дата окончания ]]-5</f>
        <v>46249</v>
      </c>
      <c r="O320" s="15">
        <f>Таблица1[[#This Row],[Дата окончания ]]-1</f>
        <v>46253</v>
      </c>
      <c r="P320" s="6" t="s">
        <v>726</v>
      </c>
    </row>
    <row r="321" spans="1:16" ht="62" x14ac:dyDescent="0.35">
      <c r="A321" s="6" t="s">
        <v>683</v>
      </c>
      <c r="B321" s="14" t="s">
        <v>159</v>
      </c>
      <c r="C321" s="6" t="s">
        <v>567</v>
      </c>
      <c r="D321" s="6" t="s">
        <v>566</v>
      </c>
      <c r="E321" s="6" t="s">
        <v>685</v>
      </c>
      <c r="F321" s="6" t="s">
        <v>687</v>
      </c>
      <c r="G321" s="22">
        <v>3064.7</v>
      </c>
      <c r="H321" s="15">
        <v>46223</v>
      </c>
      <c r="I321" s="18">
        <v>46254</v>
      </c>
      <c r="J321" s="6" t="s">
        <v>695</v>
      </c>
      <c r="K321" s="6" t="s">
        <v>110</v>
      </c>
      <c r="L321" s="6" t="s">
        <v>600</v>
      </c>
      <c r="M321" s="18">
        <f>Таблица1[[#This Row],[Дата окончания ]]-7</f>
        <v>46247</v>
      </c>
      <c r="N321" s="18"/>
      <c r="O321" s="15">
        <f>Таблица1[[#This Row],[Дата окончания ]]-1</f>
        <v>46253</v>
      </c>
      <c r="P321" s="6" t="s">
        <v>727</v>
      </c>
    </row>
    <row r="322" spans="1:16" ht="62" x14ac:dyDescent="0.35">
      <c r="A322" s="6" t="s">
        <v>684</v>
      </c>
      <c r="B322" s="14" t="s">
        <v>162</v>
      </c>
      <c r="C322" s="6" t="s">
        <v>567</v>
      </c>
      <c r="D322" s="6" t="s">
        <v>566</v>
      </c>
      <c r="E322" s="6" t="s">
        <v>686</v>
      </c>
      <c r="F322" s="6" t="s">
        <v>688</v>
      </c>
      <c r="G322" s="22">
        <v>882</v>
      </c>
      <c r="H322" s="15">
        <v>46223</v>
      </c>
      <c r="I322" s="18">
        <v>46254</v>
      </c>
      <c r="J322" s="6" t="s">
        <v>694</v>
      </c>
      <c r="K322" s="6" t="s">
        <v>110</v>
      </c>
      <c r="L322" s="6" t="s">
        <v>486</v>
      </c>
      <c r="M322" s="18">
        <f>Таблица1[[#This Row],[Дата окончания ]]-7</f>
        <v>46247</v>
      </c>
      <c r="N322" s="18"/>
      <c r="O322" s="15">
        <f>Таблица1[[#This Row],[Дата окончания ]]-1</f>
        <v>46253</v>
      </c>
      <c r="P322" s="6" t="s">
        <v>466</v>
      </c>
    </row>
    <row r="323" spans="1:16" ht="93" x14ac:dyDescent="0.35">
      <c r="A323" s="6" t="s">
        <v>709</v>
      </c>
      <c r="B323" s="14" t="s">
        <v>159</v>
      </c>
      <c r="C323" s="6" t="s">
        <v>567</v>
      </c>
      <c r="D323" s="6" t="s">
        <v>566</v>
      </c>
      <c r="E323" s="6" t="s">
        <v>711</v>
      </c>
      <c r="F323" s="6" t="s">
        <v>712</v>
      </c>
      <c r="G323" s="22">
        <v>7727.4</v>
      </c>
      <c r="H323" s="15">
        <v>46223</v>
      </c>
      <c r="I323" s="18">
        <v>46254</v>
      </c>
      <c r="J323" s="6" t="s">
        <v>713</v>
      </c>
      <c r="K323" s="6" t="s">
        <v>110</v>
      </c>
      <c r="L323" s="6" t="s">
        <v>714</v>
      </c>
      <c r="M323" s="18">
        <f>Таблица1[[#This Row],[Дата окончания ]]-7</f>
        <v>46247</v>
      </c>
      <c r="N323" s="18"/>
      <c r="O323" s="15">
        <f>Таблица1[[#This Row],[Дата окончания ]]-1</f>
        <v>46253</v>
      </c>
      <c r="P323" s="6" t="s">
        <v>728</v>
      </c>
    </row>
    <row r="324" spans="1:16" ht="77.5" x14ac:dyDescent="0.35">
      <c r="A324" s="6" t="s">
        <v>710</v>
      </c>
      <c r="B324" s="14" t="s">
        <v>162</v>
      </c>
      <c r="C324" s="6" t="s">
        <v>567</v>
      </c>
      <c r="D324" s="6" t="s">
        <v>566</v>
      </c>
      <c r="E324" s="6" t="s">
        <v>715</v>
      </c>
      <c r="F324" s="6" t="s">
        <v>716</v>
      </c>
      <c r="G324" s="22">
        <v>1396</v>
      </c>
      <c r="H324" s="15">
        <v>46228</v>
      </c>
      <c r="I324" s="18">
        <v>46254</v>
      </c>
      <c r="J324" s="6" t="s">
        <v>717</v>
      </c>
      <c r="K324" s="6" t="s">
        <v>110</v>
      </c>
      <c r="L324" s="6" t="s">
        <v>600</v>
      </c>
      <c r="M324" s="18">
        <f>Таблица1[[#This Row],[Дата окончания ]]-7</f>
        <v>46247</v>
      </c>
      <c r="N324" s="18">
        <f>Таблица1[[#This Row],[Дата окончания ]]-5</f>
        <v>46249</v>
      </c>
      <c r="O324" s="15">
        <f>Таблица1[[#This Row],[Дата окончания ]]-1</f>
        <v>46253</v>
      </c>
      <c r="P324" s="6" t="s">
        <v>718</v>
      </c>
    </row>
    <row r="325" spans="1:16" ht="93" x14ac:dyDescent="0.35">
      <c r="A325" s="6" t="s">
        <v>709</v>
      </c>
      <c r="B325" s="14" t="s">
        <v>162</v>
      </c>
      <c r="C325" s="6" t="s">
        <v>567</v>
      </c>
      <c r="D325" s="6" t="s">
        <v>566</v>
      </c>
      <c r="E325" s="6" t="s">
        <v>711</v>
      </c>
      <c r="F325" s="6" t="s">
        <v>712</v>
      </c>
      <c r="G325" s="22">
        <v>8475.2000000000007</v>
      </c>
      <c r="H325" s="15">
        <v>46223</v>
      </c>
      <c r="I325" s="18">
        <v>46258</v>
      </c>
      <c r="J325" s="6" t="s">
        <v>713</v>
      </c>
      <c r="K325" s="6" t="s">
        <v>110</v>
      </c>
      <c r="L325" s="6" t="s">
        <v>714</v>
      </c>
      <c r="M325" s="18">
        <f>Таблица1[[#This Row],[Дата окончания ]]-7</f>
        <v>46251</v>
      </c>
      <c r="N325" s="18">
        <f>Таблица1[[#This Row],[Дата окончания ]]-5</f>
        <v>46253</v>
      </c>
      <c r="O325" s="15">
        <f>Таблица1[[#This Row],[Дата окончания ]]-1</f>
        <v>46257</v>
      </c>
      <c r="P325" s="6" t="s">
        <v>729</v>
      </c>
    </row>
    <row r="326" spans="1:16" ht="62" x14ac:dyDescent="0.35">
      <c r="A326" s="6" t="s">
        <v>683</v>
      </c>
      <c r="B326" s="14" t="s">
        <v>162</v>
      </c>
      <c r="C326" s="6" t="s">
        <v>567</v>
      </c>
      <c r="D326" s="6" t="s">
        <v>566</v>
      </c>
      <c r="E326" s="6" t="s">
        <v>685</v>
      </c>
      <c r="F326" s="6" t="s">
        <v>687</v>
      </c>
      <c r="G326" s="22">
        <v>1960.6</v>
      </c>
      <c r="H326" s="15">
        <v>46223</v>
      </c>
      <c r="I326" s="18">
        <v>46258</v>
      </c>
      <c r="J326" s="6" t="s">
        <v>695</v>
      </c>
      <c r="K326" s="6" t="s">
        <v>110</v>
      </c>
      <c r="L326" s="6" t="s">
        <v>600</v>
      </c>
      <c r="M326" s="18">
        <f>Таблица1[[#This Row],[Дата окончания ]]-7</f>
        <v>46251</v>
      </c>
      <c r="N326" s="18"/>
      <c r="O326" s="15">
        <f>Таблица1[[#This Row],[Дата окончания ]]-1</f>
        <v>46257</v>
      </c>
      <c r="P326" s="6" t="s">
        <v>689</v>
      </c>
    </row>
    <row r="327" spans="1:16" ht="62" x14ac:dyDescent="0.35">
      <c r="A327" s="6" t="s">
        <v>690</v>
      </c>
      <c r="B327" s="14" t="s">
        <v>164</v>
      </c>
      <c r="C327" s="6" t="s">
        <v>567</v>
      </c>
      <c r="D327" s="6" t="s">
        <v>566</v>
      </c>
      <c r="E327" s="6" t="s">
        <v>691</v>
      </c>
      <c r="F327" s="6" t="s">
        <v>692</v>
      </c>
      <c r="G327" s="22">
        <v>7624.6</v>
      </c>
      <c r="H327" s="15">
        <v>46223</v>
      </c>
      <c r="I327" s="18">
        <v>46258</v>
      </c>
      <c r="J327" s="6" t="s">
        <v>693</v>
      </c>
      <c r="K327" s="6" t="s">
        <v>110</v>
      </c>
      <c r="L327" s="6" t="s">
        <v>207</v>
      </c>
      <c r="M327" s="18">
        <f>Таблица1[[#This Row],[Дата окончания ]]-7</f>
        <v>46251</v>
      </c>
      <c r="N327" s="18">
        <f>Таблица1[[#This Row],[Дата окончания ]]-5</f>
        <v>46253</v>
      </c>
      <c r="O327" s="15">
        <f>Таблица1[[#This Row],[Дата окончания ]]-1</f>
        <v>46257</v>
      </c>
      <c r="P327" s="6" t="s">
        <v>730</v>
      </c>
    </row>
    <row r="328" spans="1:16" ht="62" x14ac:dyDescent="0.35">
      <c r="A328" s="6" t="s">
        <v>732</v>
      </c>
      <c r="B328" s="14" t="s">
        <v>157</v>
      </c>
      <c r="C328" s="6" t="s">
        <v>733</v>
      </c>
      <c r="D328" s="6" t="s">
        <v>731</v>
      </c>
      <c r="E328" s="6" t="s">
        <v>738</v>
      </c>
      <c r="F328" s="6" t="s">
        <v>734</v>
      </c>
      <c r="G328" s="22">
        <v>9979.4</v>
      </c>
      <c r="H328" s="15">
        <v>46239</v>
      </c>
      <c r="I328" s="18">
        <v>46258</v>
      </c>
      <c r="J328" s="6" t="s">
        <v>735</v>
      </c>
      <c r="K328" s="6" t="s">
        <v>110</v>
      </c>
      <c r="L328" s="6" t="s">
        <v>736</v>
      </c>
      <c r="M328" s="18">
        <f>Таблица1[[#This Row],[Дата окончания ]]-7</f>
        <v>46251</v>
      </c>
      <c r="N328" s="18">
        <f>Таблица1[[#This Row],[Дата окончания ]]-5</f>
        <v>46253</v>
      </c>
      <c r="O328" s="15">
        <f>Таблица1[[#This Row],[Дата окончания ]]-1</f>
        <v>46257</v>
      </c>
      <c r="P328" s="6" t="s">
        <v>737</v>
      </c>
    </row>
    <row r="329" spans="1:16" ht="62" x14ac:dyDescent="0.35">
      <c r="A329" s="6" t="s">
        <v>732</v>
      </c>
      <c r="B329" s="14" t="s">
        <v>159</v>
      </c>
      <c r="C329" s="6" t="s">
        <v>733</v>
      </c>
      <c r="D329" s="6" t="s">
        <v>731</v>
      </c>
      <c r="E329" s="6" t="s">
        <v>738</v>
      </c>
      <c r="F329" s="6" t="s">
        <v>734</v>
      </c>
      <c r="G329" s="22">
        <v>8816</v>
      </c>
      <c r="H329" s="15">
        <v>46239</v>
      </c>
      <c r="I329" s="18">
        <v>46259</v>
      </c>
      <c r="J329" s="6" t="s">
        <v>735</v>
      </c>
      <c r="K329" s="6" t="s">
        <v>110</v>
      </c>
      <c r="L329" s="6" t="s">
        <v>736</v>
      </c>
      <c r="M329" s="18">
        <f>Таблица1[[#This Row],[Дата окончания ]]-7</f>
        <v>46252</v>
      </c>
      <c r="N329" s="18">
        <f>Таблица1[[#This Row],[Дата окончания ]]-5</f>
        <v>46254</v>
      </c>
      <c r="O329" s="15">
        <f>Таблица1[[#This Row],[Дата окончания ]]-1</f>
        <v>46258</v>
      </c>
      <c r="P329" s="6" t="s">
        <v>739</v>
      </c>
    </row>
    <row r="330" spans="1:16" ht="62" x14ac:dyDescent="0.35">
      <c r="A330" s="6" t="s">
        <v>740</v>
      </c>
      <c r="B330" s="14" t="s">
        <v>157</v>
      </c>
      <c r="C330" s="6" t="s">
        <v>743</v>
      </c>
      <c r="D330" s="6" t="s">
        <v>294</v>
      </c>
      <c r="E330" s="6" t="s">
        <v>383</v>
      </c>
      <c r="F330" s="6" t="s">
        <v>745</v>
      </c>
      <c r="G330" s="22">
        <v>18178.830000000002</v>
      </c>
      <c r="H330" s="15">
        <v>46223</v>
      </c>
      <c r="I330" s="18">
        <v>46260</v>
      </c>
      <c r="J330" s="6" t="s">
        <v>747</v>
      </c>
      <c r="K330" s="6" t="s">
        <v>110</v>
      </c>
      <c r="L330" s="6" t="s">
        <v>748</v>
      </c>
      <c r="M330" s="18">
        <f>Таблица1[[#This Row],[Дата окончания ]]-7</f>
        <v>46253</v>
      </c>
      <c r="N330" s="18">
        <f>Таблица1[[#This Row],[Дата окончания ]]-5</f>
        <v>46255</v>
      </c>
      <c r="O330" s="15">
        <f>Таблица1[[#This Row],[Дата окончания ]]-1</f>
        <v>46259</v>
      </c>
      <c r="P330" s="6" t="s">
        <v>750</v>
      </c>
    </row>
    <row r="331" spans="1:16" ht="93" x14ac:dyDescent="0.35">
      <c r="A331" s="6" t="s">
        <v>664</v>
      </c>
      <c r="B331" s="14" t="s">
        <v>751</v>
      </c>
      <c r="C331" s="6" t="s">
        <v>666</v>
      </c>
      <c r="D331" s="6" t="s">
        <v>667</v>
      </c>
      <c r="E331" s="6" t="s">
        <v>668</v>
      </c>
      <c r="F331" s="6" t="s">
        <v>669</v>
      </c>
      <c r="G331" s="22">
        <v>13215.4</v>
      </c>
      <c r="H331" s="15">
        <v>46227</v>
      </c>
      <c r="I331" s="18">
        <v>46260</v>
      </c>
      <c r="J331" s="6" t="s">
        <v>236</v>
      </c>
      <c r="K331" s="6" t="s">
        <v>621</v>
      </c>
      <c r="L331" s="6" t="s">
        <v>670</v>
      </c>
      <c r="M331" s="18">
        <f>Таблица1[[#This Row],[Дата окончания ]]-7</f>
        <v>46253</v>
      </c>
      <c r="N331" s="18">
        <f>Таблица1[[#This Row],[Дата окончания ]]-5</f>
        <v>46255</v>
      </c>
      <c r="O331" s="15">
        <f>Таблица1[[#This Row],[Дата окончания ]]-1</f>
        <v>46259</v>
      </c>
      <c r="P331" s="6" t="s">
        <v>752</v>
      </c>
    </row>
    <row r="332" spans="1:16" ht="124" x14ac:dyDescent="0.35">
      <c r="A332" s="6" t="s">
        <v>620</v>
      </c>
      <c r="B332" s="14" t="s">
        <v>226</v>
      </c>
      <c r="C332" s="6" t="s">
        <v>626</v>
      </c>
      <c r="D332" s="6" t="s">
        <v>106</v>
      </c>
      <c r="E332" s="6" t="s">
        <v>648</v>
      </c>
      <c r="F332" s="6" t="s">
        <v>649</v>
      </c>
      <c r="G332" s="22">
        <v>5367.78</v>
      </c>
      <c r="H332" s="15">
        <v>46188</v>
      </c>
      <c r="I332" s="18">
        <v>46261</v>
      </c>
      <c r="J332" s="6" t="s">
        <v>650</v>
      </c>
      <c r="K332" s="6" t="s">
        <v>621</v>
      </c>
      <c r="L332" s="6" t="s">
        <v>625</v>
      </c>
      <c r="M332" s="18">
        <f>Таблица1[[#This Row],[Дата окончания ]]-7</f>
        <v>46254</v>
      </c>
      <c r="N332" s="18">
        <f>Таблица1[[#This Row],[Дата окончания ]]-5</f>
        <v>46256</v>
      </c>
      <c r="O332" s="15">
        <f>Таблица1[[#This Row],[Дата окончания ]]-1</f>
        <v>46260</v>
      </c>
      <c r="P332" s="6" t="s">
        <v>753</v>
      </c>
    </row>
    <row r="333" spans="1:16" ht="62" x14ac:dyDescent="0.35">
      <c r="A333" s="6" t="s">
        <v>700</v>
      </c>
      <c r="B333" s="14" t="s">
        <v>164</v>
      </c>
      <c r="C333" s="6" t="s">
        <v>703</v>
      </c>
      <c r="D333" s="6" t="s">
        <v>702</v>
      </c>
      <c r="E333" s="6" t="s">
        <v>701</v>
      </c>
      <c r="F333" s="6" t="s">
        <v>704</v>
      </c>
      <c r="G333" s="22">
        <v>9662.4000000000015</v>
      </c>
      <c r="H333" s="15">
        <v>46227</v>
      </c>
      <c r="I333" s="18">
        <v>46261</v>
      </c>
      <c r="J333" s="6" t="s">
        <v>236</v>
      </c>
      <c r="K333" s="6" t="s">
        <v>705</v>
      </c>
      <c r="L333" s="6" t="s">
        <v>706</v>
      </c>
      <c r="M333" s="18">
        <f>Таблица1[[#This Row],[Дата окончания ]]-7</f>
        <v>46254</v>
      </c>
      <c r="N333" s="18">
        <f>Таблица1[[#This Row],[Дата окончания ]]-5</f>
        <v>46256</v>
      </c>
      <c r="O333" s="15">
        <f>Таблица1[[#This Row],[Дата окончания ]]-1</f>
        <v>46260</v>
      </c>
      <c r="P333" s="6" t="s">
        <v>754</v>
      </c>
    </row>
    <row r="334" spans="1:16" ht="62" x14ac:dyDescent="0.35">
      <c r="A334" s="6" t="s">
        <v>700</v>
      </c>
      <c r="B334" s="14" t="s">
        <v>166</v>
      </c>
      <c r="C334" s="6" t="s">
        <v>703</v>
      </c>
      <c r="D334" s="6" t="s">
        <v>702</v>
      </c>
      <c r="E334" s="6" t="s">
        <v>701</v>
      </c>
      <c r="F334" s="6" t="s">
        <v>704</v>
      </c>
      <c r="G334" s="22">
        <v>12177.9</v>
      </c>
      <c r="H334" s="15">
        <v>46227</v>
      </c>
      <c r="I334" s="18">
        <v>46262</v>
      </c>
      <c r="J334" s="6" t="s">
        <v>236</v>
      </c>
      <c r="K334" s="6" t="s">
        <v>705</v>
      </c>
      <c r="L334" s="6" t="s">
        <v>706</v>
      </c>
      <c r="M334" s="18">
        <f>Таблица1[[#This Row],[Дата окончания ]]-7</f>
        <v>46255</v>
      </c>
      <c r="N334" s="18">
        <f>Таблица1[[#This Row],[Дата окончания ]]-5</f>
        <v>46257</v>
      </c>
      <c r="O334" s="15">
        <f>Таблица1[[#This Row],[Дата окончания ]]-1</f>
        <v>46261</v>
      </c>
      <c r="P334" s="6" t="s">
        <v>755</v>
      </c>
    </row>
    <row r="335" spans="1:16" ht="62" x14ac:dyDescent="0.35">
      <c r="A335" s="6" t="s">
        <v>740</v>
      </c>
      <c r="B335" s="14" t="s">
        <v>159</v>
      </c>
      <c r="C335" s="6" t="s">
        <v>743</v>
      </c>
      <c r="D335" s="6" t="s">
        <v>294</v>
      </c>
      <c r="E335" s="6" t="s">
        <v>383</v>
      </c>
      <c r="F335" s="6" t="s">
        <v>745</v>
      </c>
      <c r="G335" s="22">
        <v>6043.8900000000021</v>
      </c>
      <c r="H335" s="15">
        <v>46223</v>
      </c>
      <c r="I335" s="18">
        <v>46262</v>
      </c>
      <c r="J335" s="6" t="s">
        <v>747</v>
      </c>
      <c r="K335" s="6" t="s">
        <v>110</v>
      </c>
      <c r="L335" s="6" t="s">
        <v>748</v>
      </c>
      <c r="M335" s="18">
        <f>Таблица1[[#This Row],[Дата окончания ]]-7</f>
        <v>46255</v>
      </c>
      <c r="N335" s="18">
        <f>Таблица1[[#This Row],[Дата окончания ]]-5</f>
        <v>46257</v>
      </c>
      <c r="O335" s="15">
        <f>Таблица1[[#This Row],[Дата окончания ]]-1</f>
        <v>46261</v>
      </c>
      <c r="P335" s="6" t="s">
        <v>756</v>
      </c>
    </row>
    <row r="336" spans="1:16" ht="46.5" x14ac:dyDescent="0.35">
      <c r="A336" s="6" t="s">
        <v>741</v>
      </c>
      <c r="B336" s="14" t="s">
        <v>157</v>
      </c>
      <c r="C336" s="6" t="s">
        <v>742</v>
      </c>
      <c r="D336" s="6" t="s">
        <v>294</v>
      </c>
      <c r="E336" s="6" t="s">
        <v>383</v>
      </c>
      <c r="F336" s="6" t="s">
        <v>744</v>
      </c>
      <c r="G336" s="22">
        <v>3436.4699999999993</v>
      </c>
      <c r="H336" s="15">
        <v>46223</v>
      </c>
      <c r="I336" s="18">
        <v>46262</v>
      </c>
      <c r="J336" s="6" t="s">
        <v>746</v>
      </c>
      <c r="K336" s="6" t="s">
        <v>110</v>
      </c>
      <c r="L336" s="6" t="s">
        <v>749</v>
      </c>
      <c r="M336" s="18">
        <f>Таблица1[[#This Row],[Дата окончания ]]-7</f>
        <v>46255</v>
      </c>
      <c r="N336" s="18">
        <f>Таблица1[[#This Row],[Дата окончания ]]-5</f>
        <v>46257</v>
      </c>
      <c r="O336" s="15">
        <f>Таблица1[[#This Row],[Дата окончания ]]-1</f>
        <v>46261</v>
      </c>
      <c r="P336" s="6" t="s">
        <v>757</v>
      </c>
    </row>
    <row r="337" spans="1:16" ht="62" x14ac:dyDescent="0.35">
      <c r="A337" s="6" t="s">
        <v>700</v>
      </c>
      <c r="B337" s="14" t="s">
        <v>142</v>
      </c>
      <c r="C337" s="6" t="s">
        <v>703</v>
      </c>
      <c r="D337" s="6" t="s">
        <v>702</v>
      </c>
      <c r="E337" s="6" t="s">
        <v>701</v>
      </c>
      <c r="F337" s="6" t="s">
        <v>704</v>
      </c>
      <c r="G337" s="22">
        <v>11237.5</v>
      </c>
      <c r="H337" s="15">
        <v>46227</v>
      </c>
      <c r="I337" s="18">
        <v>46265</v>
      </c>
      <c r="J337" s="6" t="s">
        <v>236</v>
      </c>
      <c r="K337" s="6" t="s">
        <v>705</v>
      </c>
      <c r="L337" s="6" t="s">
        <v>706</v>
      </c>
      <c r="M337" s="18">
        <f>Таблица1[[#This Row],[Дата окончания ]]-7</f>
        <v>46258</v>
      </c>
      <c r="N337" s="18">
        <f>Таблица1[[#This Row],[Дата окончания ]]-5</f>
        <v>46260</v>
      </c>
      <c r="O337" s="15">
        <f>Таблица1[[#This Row],[Дата окончания ]]-1</f>
        <v>46264</v>
      </c>
      <c r="P337" s="6" t="s">
        <v>758</v>
      </c>
    </row>
    <row r="338" spans="1:16" ht="62" x14ac:dyDescent="0.35">
      <c r="A338" s="6" t="s">
        <v>700</v>
      </c>
      <c r="B338" s="14" t="s">
        <v>152</v>
      </c>
      <c r="C338" s="6" t="s">
        <v>703</v>
      </c>
      <c r="D338" s="6" t="s">
        <v>702</v>
      </c>
      <c r="E338" s="6" t="s">
        <v>701</v>
      </c>
      <c r="F338" s="6" t="s">
        <v>704</v>
      </c>
      <c r="G338" s="22">
        <v>9497.1</v>
      </c>
      <c r="H338" s="15">
        <v>46227</v>
      </c>
      <c r="I338" s="18">
        <v>46265</v>
      </c>
      <c r="J338" s="6" t="s">
        <v>236</v>
      </c>
      <c r="K338" s="6" t="s">
        <v>705</v>
      </c>
      <c r="L338" s="6" t="s">
        <v>706</v>
      </c>
      <c r="M338" s="18">
        <f>Таблица1[[#This Row],[Дата окончания ]]-7</f>
        <v>46258</v>
      </c>
      <c r="N338" s="18">
        <f>Таблица1[[#This Row],[Дата окончания ]]-5</f>
        <v>46260</v>
      </c>
      <c r="O338" s="15">
        <f>Таблица1[[#This Row],[Дата окончания ]]-1</f>
        <v>46264</v>
      </c>
      <c r="P338" s="6" t="s">
        <v>759</v>
      </c>
    </row>
    <row r="339" spans="1:16" ht="62" x14ac:dyDescent="0.35">
      <c r="A339" s="6" t="s">
        <v>732</v>
      </c>
      <c r="B339" s="14" t="s">
        <v>162</v>
      </c>
      <c r="C339" s="6" t="s">
        <v>733</v>
      </c>
      <c r="D339" s="6" t="s">
        <v>731</v>
      </c>
      <c r="E339" s="6" t="s">
        <v>738</v>
      </c>
      <c r="F339" s="6" t="s">
        <v>734</v>
      </c>
      <c r="G339" s="22">
        <v>8516.5999999999985</v>
      </c>
      <c r="H339" s="15">
        <v>46239</v>
      </c>
      <c r="I339" s="18">
        <v>46265</v>
      </c>
      <c r="J339" s="6" t="s">
        <v>735</v>
      </c>
      <c r="K339" s="6" t="s">
        <v>110</v>
      </c>
      <c r="L339" s="6" t="s">
        <v>736</v>
      </c>
      <c r="M339" s="18">
        <f>Таблица1[[#This Row],[Дата окончания ]]-7</f>
        <v>46258</v>
      </c>
      <c r="N339" s="18">
        <f>Таблица1[[#This Row],[Дата окончания ]]-5</f>
        <v>46260</v>
      </c>
      <c r="O339" s="15">
        <f>Таблица1[[#This Row],[Дата окончания ]]-1</f>
        <v>46264</v>
      </c>
      <c r="P339" s="6" t="s">
        <v>760</v>
      </c>
    </row>
    <row r="340" spans="1:16" ht="62" x14ac:dyDescent="0.35">
      <c r="A340" s="6" t="s">
        <v>732</v>
      </c>
      <c r="B340" s="14" t="s">
        <v>164</v>
      </c>
      <c r="C340" s="6" t="s">
        <v>733</v>
      </c>
      <c r="D340" s="6" t="s">
        <v>731</v>
      </c>
      <c r="E340" s="6" t="s">
        <v>738</v>
      </c>
      <c r="F340" s="6" t="s">
        <v>734</v>
      </c>
      <c r="G340" s="22">
        <v>11301.9</v>
      </c>
      <c r="H340" s="15">
        <v>46239</v>
      </c>
      <c r="I340" s="18">
        <v>46265</v>
      </c>
      <c r="J340" s="6" t="s">
        <v>735</v>
      </c>
      <c r="K340" s="6" t="s">
        <v>110</v>
      </c>
      <c r="L340" s="6" t="s">
        <v>736</v>
      </c>
      <c r="M340" s="18">
        <f>Таблица1[[#This Row],[Дата окончания ]]-7</f>
        <v>46258</v>
      </c>
      <c r="N340" s="18">
        <f>Таблица1[[#This Row],[Дата окончания ]]-5</f>
        <v>46260</v>
      </c>
      <c r="O340" s="15">
        <f>Таблица1[[#This Row],[Дата окончания ]]-1</f>
        <v>46264</v>
      </c>
      <c r="P340" s="6" t="s">
        <v>761</v>
      </c>
    </row>
    <row r="341" spans="1:16" ht="62" x14ac:dyDescent="0.35">
      <c r="A341" s="6" t="s">
        <v>732</v>
      </c>
      <c r="B341" s="14" t="s">
        <v>166</v>
      </c>
      <c r="C341" s="6" t="s">
        <v>733</v>
      </c>
      <c r="D341" s="6" t="s">
        <v>731</v>
      </c>
      <c r="E341" s="6" t="s">
        <v>738</v>
      </c>
      <c r="F341" s="6" t="s">
        <v>734</v>
      </c>
      <c r="G341" s="22">
        <v>9397.7999999999993</v>
      </c>
      <c r="H341" s="15">
        <v>46239</v>
      </c>
      <c r="I341" s="18">
        <v>46267</v>
      </c>
      <c r="J341" s="6" t="s">
        <v>735</v>
      </c>
      <c r="K341" s="6" t="s">
        <v>110</v>
      </c>
      <c r="L341" s="6" t="s">
        <v>736</v>
      </c>
      <c r="M341" s="18">
        <f>Таблица1[[#This Row],[Дата окончания ]]-7</f>
        <v>46260</v>
      </c>
      <c r="N341" s="18">
        <f>Таблица1[[#This Row],[Дата окончания ]]-5</f>
        <v>46262</v>
      </c>
      <c r="O341" s="15">
        <f>Таблица1[[#This Row],[Дата окончания ]]-1</f>
        <v>46266</v>
      </c>
      <c r="P341" s="6" t="s">
        <v>762</v>
      </c>
    </row>
    <row r="342" spans="1:16" ht="93" x14ac:dyDescent="0.35">
      <c r="A342" s="16" t="s">
        <v>763</v>
      </c>
      <c r="B342" s="14" t="s">
        <v>764</v>
      </c>
      <c r="C342" s="6" t="s">
        <v>666</v>
      </c>
      <c r="D342" s="6" t="s">
        <v>667</v>
      </c>
      <c r="E342" s="6" t="s">
        <v>668</v>
      </c>
      <c r="F342" s="6" t="s">
        <v>669</v>
      </c>
      <c r="G342" s="22">
        <v>14747.359999999999</v>
      </c>
      <c r="H342" s="15">
        <v>46227</v>
      </c>
      <c r="I342" s="18">
        <v>46267</v>
      </c>
      <c r="J342" s="6" t="s">
        <v>236</v>
      </c>
      <c r="K342" s="6" t="s">
        <v>621</v>
      </c>
      <c r="L342" s="6" t="s">
        <v>765</v>
      </c>
      <c r="M342" s="18">
        <f>Таблица1[[#This Row],[Дата окончания ]]-7</f>
        <v>46260</v>
      </c>
      <c r="N342" s="18">
        <f>Таблица1[[#This Row],[Дата окончания ]]-5</f>
        <v>46262</v>
      </c>
      <c r="O342" s="15">
        <f>Таблица1[[#This Row],[Дата окончания ]]-1</f>
        <v>46266</v>
      </c>
      <c r="P342" s="6" t="s">
        <v>398</v>
      </c>
    </row>
    <row r="343" spans="1:16" ht="62" x14ac:dyDescent="0.35">
      <c r="A343" s="6" t="s">
        <v>732</v>
      </c>
      <c r="B343" s="14" t="s">
        <v>142</v>
      </c>
      <c r="C343" s="6" t="s">
        <v>733</v>
      </c>
      <c r="D343" s="6" t="s">
        <v>731</v>
      </c>
      <c r="E343" s="6" t="s">
        <v>738</v>
      </c>
      <c r="F343" s="6" t="s">
        <v>734</v>
      </c>
      <c r="G343" s="22">
        <v>10168.5</v>
      </c>
      <c r="H343" s="15">
        <v>46239</v>
      </c>
      <c r="I343" s="18">
        <v>46268</v>
      </c>
      <c r="J343" s="6" t="s">
        <v>735</v>
      </c>
      <c r="K343" s="6" t="s">
        <v>110</v>
      </c>
      <c r="L343" s="6" t="s">
        <v>736</v>
      </c>
      <c r="M343" s="18">
        <f>Таблица1[[#This Row],[Дата окончания ]]-7</f>
        <v>46261</v>
      </c>
      <c r="N343" s="18">
        <f>Таблица1[[#This Row],[Дата окончания ]]-5</f>
        <v>46263</v>
      </c>
      <c r="O343" s="15">
        <f>Таблица1[[#This Row],[Дата окончания ]]-1</f>
        <v>46267</v>
      </c>
      <c r="P343" s="6" t="s">
        <v>766</v>
      </c>
    </row>
    <row r="344" spans="1:16" ht="93" x14ac:dyDescent="0.35">
      <c r="A344" s="6" t="s">
        <v>709</v>
      </c>
      <c r="B344" s="14" t="s">
        <v>164</v>
      </c>
      <c r="C344" s="6" t="s">
        <v>567</v>
      </c>
      <c r="D344" s="6" t="s">
        <v>566</v>
      </c>
      <c r="E344" s="6" t="s">
        <v>711</v>
      </c>
      <c r="F344" s="6" t="s">
        <v>712</v>
      </c>
      <c r="G344" s="22">
        <v>1105.8</v>
      </c>
      <c r="H344" s="15">
        <v>46223</v>
      </c>
      <c r="I344" s="18">
        <v>46268</v>
      </c>
      <c r="J344" s="6" t="s">
        <v>713</v>
      </c>
      <c r="K344" s="6" t="s">
        <v>110</v>
      </c>
      <c r="L344" s="6" t="s">
        <v>714</v>
      </c>
      <c r="M344" s="18">
        <f>Таблица1[[#This Row],[Дата окончания ]]-7</f>
        <v>46261</v>
      </c>
      <c r="N344" s="18">
        <f>Таблица1[[#This Row],[Дата окончания ]]-5</f>
        <v>46263</v>
      </c>
      <c r="O344" s="15">
        <f>Таблица1[[#This Row],[Дата окончания ]]-1</f>
        <v>46267</v>
      </c>
      <c r="P344" s="6" t="s">
        <v>767</v>
      </c>
    </row>
    <row r="345" spans="1:16" ht="62" x14ac:dyDescent="0.35">
      <c r="A345" s="6" t="s">
        <v>690</v>
      </c>
      <c r="B345" s="14" t="s">
        <v>166</v>
      </c>
      <c r="C345" s="6" t="s">
        <v>567</v>
      </c>
      <c r="D345" s="6" t="s">
        <v>566</v>
      </c>
      <c r="E345" s="6" t="s">
        <v>691</v>
      </c>
      <c r="F345" s="6" t="s">
        <v>692</v>
      </c>
      <c r="G345" s="22">
        <v>1025.3</v>
      </c>
      <c r="H345" s="15">
        <v>46223</v>
      </c>
      <c r="I345" s="18">
        <v>46268</v>
      </c>
      <c r="J345" s="6" t="s">
        <v>693</v>
      </c>
      <c r="K345" s="6" t="s">
        <v>110</v>
      </c>
      <c r="L345" s="6" t="s">
        <v>207</v>
      </c>
      <c r="M345" s="18">
        <f>Таблица1[[#This Row],[Дата окончания ]]-7</f>
        <v>46261</v>
      </c>
      <c r="N345" s="18">
        <f>Таблица1[[#This Row],[Дата окончания ]]-5</f>
        <v>46263</v>
      </c>
      <c r="O345" s="15">
        <f>Таблица1[[#This Row],[Дата окончания ]]-1</f>
        <v>46267</v>
      </c>
      <c r="P345" s="6" t="s">
        <v>768</v>
      </c>
    </row>
    <row r="346" spans="1:16" ht="46.5" x14ac:dyDescent="0.35">
      <c r="A346" s="6" t="s">
        <v>769</v>
      </c>
      <c r="B346" s="14" t="s">
        <v>157</v>
      </c>
      <c r="C346" s="6" t="s">
        <v>567</v>
      </c>
      <c r="D346" s="6" t="s">
        <v>566</v>
      </c>
      <c r="E346" s="6" t="s">
        <v>770</v>
      </c>
      <c r="F346" s="6" t="s">
        <v>771</v>
      </c>
      <c r="G346" s="22">
        <v>3463.1</v>
      </c>
      <c r="H346" s="15">
        <v>46254</v>
      </c>
      <c r="I346" s="18">
        <v>46268</v>
      </c>
      <c r="J346" s="6" t="s">
        <v>772</v>
      </c>
      <c r="K346" s="6" t="s">
        <v>110</v>
      </c>
      <c r="L346" s="6" t="s">
        <v>238</v>
      </c>
      <c r="M346" s="18">
        <f>Таблица1[[#This Row],[Дата окончания ]]-7</f>
        <v>46261</v>
      </c>
      <c r="N346" s="18"/>
      <c r="O346" s="15"/>
      <c r="P346" s="6" t="s">
        <v>773</v>
      </c>
    </row>
    <row r="347" spans="1:16" ht="62" x14ac:dyDescent="0.35">
      <c r="A347" s="6" t="s">
        <v>683</v>
      </c>
      <c r="B347" s="14" t="s">
        <v>164</v>
      </c>
      <c r="C347" s="6" t="s">
        <v>567</v>
      </c>
      <c r="D347" s="6" t="s">
        <v>566</v>
      </c>
      <c r="E347" s="6" t="s">
        <v>685</v>
      </c>
      <c r="F347" s="6" t="s">
        <v>687</v>
      </c>
      <c r="G347" s="22">
        <v>60</v>
      </c>
      <c r="H347" s="15">
        <v>46223</v>
      </c>
      <c r="I347" s="18">
        <v>46268</v>
      </c>
      <c r="J347" s="6" t="s">
        <v>695</v>
      </c>
      <c r="K347" s="6" t="s">
        <v>110</v>
      </c>
      <c r="L347" s="6" t="s">
        <v>600</v>
      </c>
      <c r="M347" s="18">
        <f>Таблица1[[#This Row],[Дата окончания ]]-7</f>
        <v>46261</v>
      </c>
      <c r="N347" s="18"/>
      <c r="O347" s="15">
        <f>Таблица1[[#This Row],[Дата окончания ]]-1</f>
        <v>46267</v>
      </c>
      <c r="P347" s="6" t="s">
        <v>379</v>
      </c>
    </row>
    <row r="348" spans="1:16" ht="62" x14ac:dyDescent="0.35">
      <c r="A348" s="6" t="s">
        <v>732</v>
      </c>
      <c r="B348" s="14" t="s">
        <v>152</v>
      </c>
      <c r="C348" s="6" t="s">
        <v>733</v>
      </c>
      <c r="D348" s="6" t="s">
        <v>731</v>
      </c>
      <c r="E348" s="6" t="s">
        <v>738</v>
      </c>
      <c r="F348" s="6" t="s">
        <v>734</v>
      </c>
      <c r="G348" s="22">
        <v>11003.100000000004</v>
      </c>
      <c r="H348" s="15">
        <v>46239</v>
      </c>
      <c r="I348" s="18">
        <v>46268</v>
      </c>
      <c r="J348" s="6" t="s">
        <v>735</v>
      </c>
      <c r="K348" s="6" t="s">
        <v>110</v>
      </c>
      <c r="L348" s="6" t="s">
        <v>736</v>
      </c>
      <c r="M348" s="18">
        <f>Таблица1[[#This Row],[Дата окончания ]]-7</f>
        <v>46261</v>
      </c>
      <c r="N348" s="18">
        <f>Таблица1[[#This Row],[Дата окончания ]]-5</f>
        <v>46263</v>
      </c>
      <c r="O348" s="15">
        <f>Таблица1[[#This Row],[Дата окончания ]]-1</f>
        <v>46267</v>
      </c>
      <c r="P348" s="6" t="s">
        <v>774</v>
      </c>
    </row>
    <row r="349" spans="1:16" ht="93" x14ac:dyDescent="0.35">
      <c r="A349" s="6" t="s">
        <v>664</v>
      </c>
      <c r="B349" s="14" t="s">
        <v>775</v>
      </c>
      <c r="C349" s="6" t="s">
        <v>666</v>
      </c>
      <c r="D349" s="6" t="s">
        <v>667</v>
      </c>
      <c r="E349" s="6" t="s">
        <v>668</v>
      </c>
      <c r="F349" s="6" t="s">
        <v>669</v>
      </c>
      <c r="G349" s="22">
        <v>15107.389999999996</v>
      </c>
      <c r="H349" s="15">
        <v>46227</v>
      </c>
      <c r="I349" s="18">
        <v>46269</v>
      </c>
      <c r="J349" s="6" t="s">
        <v>236</v>
      </c>
      <c r="K349" s="6" t="s">
        <v>621</v>
      </c>
      <c r="L349" s="6" t="s">
        <v>670</v>
      </c>
      <c r="M349" s="18">
        <f>Таблица1[[#This Row],[Дата окончания ]]-7</f>
        <v>46262</v>
      </c>
      <c r="N349" s="18">
        <f>Таблица1[[#This Row],[Дата окончания ]]-5</f>
        <v>46264</v>
      </c>
      <c r="O349" s="15">
        <f>Таблица1[[#This Row],[Дата окончания ]]-1</f>
        <v>46268</v>
      </c>
      <c r="P349" s="6" t="s">
        <v>776</v>
      </c>
    </row>
    <row r="350" spans="1:16" ht="62" x14ac:dyDescent="0.35">
      <c r="A350" s="6" t="s">
        <v>732</v>
      </c>
      <c r="B350" s="14" t="s">
        <v>160</v>
      </c>
      <c r="C350" s="6" t="s">
        <v>733</v>
      </c>
      <c r="D350" s="6" t="s">
        <v>731</v>
      </c>
      <c r="E350" s="6" t="s">
        <v>738</v>
      </c>
      <c r="F350" s="6" t="s">
        <v>734</v>
      </c>
      <c r="G350" s="22">
        <v>10598.4</v>
      </c>
      <c r="H350" s="15">
        <v>46239</v>
      </c>
      <c r="I350" s="18">
        <v>46273</v>
      </c>
      <c r="J350" s="6" t="s">
        <v>735</v>
      </c>
      <c r="K350" s="6" t="s">
        <v>110</v>
      </c>
      <c r="L350" s="6" t="s">
        <v>736</v>
      </c>
      <c r="M350" s="18">
        <f>Таблица1[[#This Row],[Дата окончания ]]-7</f>
        <v>46266</v>
      </c>
      <c r="N350" s="18">
        <f>Таблица1[[#This Row],[Дата окончания ]]-5</f>
        <v>46268</v>
      </c>
      <c r="O350" s="15">
        <f>Таблица1[[#This Row],[Дата окончания ]]-1</f>
        <v>46272</v>
      </c>
      <c r="P350" s="6" t="s">
        <v>777</v>
      </c>
    </row>
    <row r="351" spans="1:16" ht="93" x14ac:dyDescent="0.35">
      <c r="A351" s="16" t="s">
        <v>763</v>
      </c>
      <c r="B351" s="14" t="s">
        <v>778</v>
      </c>
      <c r="C351" s="6" t="s">
        <v>666</v>
      </c>
      <c r="D351" s="6" t="s">
        <v>667</v>
      </c>
      <c r="E351" s="6" t="s">
        <v>668</v>
      </c>
      <c r="F351" s="6" t="s">
        <v>669</v>
      </c>
      <c r="G351" s="22">
        <v>15013.179999999997</v>
      </c>
      <c r="H351" s="15">
        <v>46227</v>
      </c>
      <c r="I351" s="18">
        <v>46273</v>
      </c>
      <c r="J351" s="6" t="s">
        <v>236</v>
      </c>
      <c r="K351" s="6" t="s">
        <v>621</v>
      </c>
      <c r="L351" s="6" t="s">
        <v>765</v>
      </c>
      <c r="M351" s="18">
        <f>Таблица1[[#This Row],[Дата окончания ]]-7</f>
        <v>46266</v>
      </c>
      <c r="N351" s="18">
        <f>Таблица1[[#This Row],[Дата окончания ]]-5</f>
        <v>46268</v>
      </c>
      <c r="O351" s="15">
        <f>Таблица1[[#This Row],[Дата окончания ]]-1</f>
        <v>46272</v>
      </c>
      <c r="P351" s="6" t="s">
        <v>398</v>
      </c>
    </row>
    <row r="352" spans="1:16" ht="62" x14ac:dyDescent="0.35">
      <c r="A352" s="6" t="s">
        <v>732</v>
      </c>
      <c r="B352" s="14" t="s">
        <v>161</v>
      </c>
      <c r="C352" s="6" t="s">
        <v>733</v>
      </c>
      <c r="D352" s="6" t="s">
        <v>731</v>
      </c>
      <c r="E352" s="6" t="s">
        <v>738</v>
      </c>
      <c r="F352" s="6" t="s">
        <v>734</v>
      </c>
      <c r="G352" s="22">
        <v>11766.799999999997</v>
      </c>
      <c r="H352" s="15">
        <v>46239</v>
      </c>
      <c r="I352" s="18">
        <v>46273</v>
      </c>
      <c r="J352" s="6" t="s">
        <v>735</v>
      </c>
      <c r="K352" s="6" t="s">
        <v>110</v>
      </c>
      <c r="L352" s="6" t="s">
        <v>736</v>
      </c>
      <c r="M352" s="18">
        <f>Таблица1[[#This Row],[Дата окончания ]]-7</f>
        <v>46266</v>
      </c>
      <c r="N352" s="18">
        <f>Таблица1[[#This Row],[Дата окончания ]]-5</f>
        <v>46268</v>
      </c>
      <c r="O352" s="15">
        <f>Таблица1[[#This Row],[Дата окончания ]]-1</f>
        <v>46272</v>
      </c>
      <c r="P352" s="6" t="s">
        <v>779</v>
      </c>
    </row>
    <row r="353" spans="1:17" ht="31" x14ac:dyDescent="0.35">
      <c r="A353" s="39" t="s">
        <v>780</v>
      </c>
      <c r="B353" s="14" t="s">
        <v>157</v>
      </c>
      <c r="C353" s="6" t="s">
        <v>782</v>
      </c>
      <c r="D353" s="6" t="s">
        <v>781</v>
      </c>
      <c r="E353" s="6" t="s">
        <v>632</v>
      </c>
      <c r="F353" s="6" t="s">
        <v>783</v>
      </c>
      <c r="G353" s="22">
        <v>19407.41</v>
      </c>
      <c r="H353" s="15">
        <v>46239</v>
      </c>
      <c r="I353" s="18">
        <v>46274</v>
      </c>
      <c r="J353" s="6" t="s">
        <v>784</v>
      </c>
      <c r="K353" s="6" t="s">
        <v>110</v>
      </c>
      <c r="L353" s="6" t="s">
        <v>238</v>
      </c>
      <c r="M353" s="18">
        <f>Таблица1[[#This Row],[Дата окончания ]]-7</f>
        <v>46267</v>
      </c>
      <c r="N353" s="18">
        <f>Таблица1[[#This Row],[Дата окончания ]]-5</f>
        <v>46269</v>
      </c>
      <c r="O353" s="15">
        <f>Таблица1[[#This Row],[Дата окончания ]]-1</f>
        <v>46273</v>
      </c>
      <c r="P353" s="6" t="s">
        <v>785</v>
      </c>
    </row>
    <row r="354" spans="1:17" ht="93" x14ac:dyDescent="0.35">
      <c r="A354" s="6" t="s">
        <v>664</v>
      </c>
      <c r="B354" s="14" t="s">
        <v>786</v>
      </c>
      <c r="C354" s="6" t="s">
        <v>666</v>
      </c>
      <c r="D354" s="6" t="s">
        <v>667</v>
      </c>
      <c r="E354" s="6" t="s">
        <v>668</v>
      </c>
      <c r="F354" s="6" t="s">
        <v>669</v>
      </c>
      <c r="G354" s="22">
        <v>11342.079999999998</v>
      </c>
      <c r="H354" s="15">
        <v>46227</v>
      </c>
      <c r="I354" s="18">
        <v>46275</v>
      </c>
      <c r="J354" s="6" t="s">
        <v>236</v>
      </c>
      <c r="K354" s="6" t="s">
        <v>621</v>
      </c>
      <c r="L354" s="6" t="s">
        <v>670</v>
      </c>
      <c r="M354" s="18">
        <f>Таблица1[[#This Row],[Дата окончания ]]-7</f>
        <v>46268</v>
      </c>
      <c r="N354" s="18">
        <f>Таблица1[[#This Row],[Дата окончания ]]-5</f>
        <v>46270</v>
      </c>
      <c r="O354" s="15">
        <f>Таблица1[[#This Row],[Дата окончания ]]-1</f>
        <v>46274</v>
      </c>
      <c r="P354" s="6" t="s">
        <v>787</v>
      </c>
    </row>
    <row r="355" spans="1:17" ht="93" x14ac:dyDescent="0.35">
      <c r="A355" s="16" t="s">
        <v>763</v>
      </c>
      <c r="B355" s="14" t="s">
        <v>788</v>
      </c>
      <c r="C355" s="6" t="s">
        <v>666</v>
      </c>
      <c r="D355" s="6" t="s">
        <v>667</v>
      </c>
      <c r="E355" s="6" t="s">
        <v>668</v>
      </c>
      <c r="F355" s="6" t="s">
        <v>669</v>
      </c>
      <c r="G355" s="22">
        <v>17296.509999999998</v>
      </c>
      <c r="H355" s="15">
        <v>46227</v>
      </c>
      <c r="I355" s="18">
        <v>46276</v>
      </c>
      <c r="J355" s="6" t="s">
        <v>236</v>
      </c>
      <c r="K355" s="6" t="s">
        <v>621</v>
      </c>
      <c r="L355" s="6" t="s">
        <v>765</v>
      </c>
      <c r="M355" s="18">
        <f>Таблица1[[#This Row],[Дата окончания ]]-7</f>
        <v>46269</v>
      </c>
      <c r="N355" s="18">
        <f>Таблица1[[#This Row],[Дата окончания ]]-5</f>
        <v>46271</v>
      </c>
      <c r="O355" s="15">
        <f>Таблица1[[#This Row],[Дата окончания ]]-1</f>
        <v>46275</v>
      </c>
      <c r="P355" s="6" t="s">
        <v>789</v>
      </c>
    </row>
    <row r="356" spans="1:17" ht="62" x14ac:dyDescent="0.35">
      <c r="A356" s="6" t="s">
        <v>732</v>
      </c>
      <c r="B356" s="14" t="s">
        <v>216</v>
      </c>
      <c r="C356" s="6" t="s">
        <v>733</v>
      </c>
      <c r="D356" s="6" t="s">
        <v>731</v>
      </c>
      <c r="E356" s="6" t="s">
        <v>738</v>
      </c>
      <c r="F356" s="6" t="s">
        <v>734</v>
      </c>
      <c r="G356" s="22">
        <v>8725</v>
      </c>
      <c r="H356" s="15">
        <v>46239</v>
      </c>
      <c r="I356" s="18">
        <v>46276</v>
      </c>
      <c r="J356" s="6" t="s">
        <v>735</v>
      </c>
      <c r="K356" s="6" t="s">
        <v>110</v>
      </c>
      <c r="L356" s="6" t="s">
        <v>736</v>
      </c>
      <c r="M356" s="18">
        <f>Таблица1[[#This Row],[Дата окончания ]]-7</f>
        <v>46269</v>
      </c>
      <c r="N356" s="18">
        <f>Таблица1[[#This Row],[Дата окончания ]]-5</f>
        <v>46271</v>
      </c>
      <c r="O356" s="15">
        <f>Таблица1[[#This Row],[Дата окончания ]]-1</f>
        <v>46275</v>
      </c>
      <c r="P356" s="6" t="s">
        <v>790</v>
      </c>
    </row>
    <row r="357" spans="1:17" ht="62" x14ac:dyDescent="0.35">
      <c r="A357" s="6" t="s">
        <v>732</v>
      </c>
      <c r="B357" s="14" t="s">
        <v>220</v>
      </c>
      <c r="C357" s="6" t="s">
        <v>733</v>
      </c>
      <c r="D357" s="6" t="s">
        <v>731</v>
      </c>
      <c r="E357" s="6" t="s">
        <v>738</v>
      </c>
      <c r="F357" s="6" t="s">
        <v>734</v>
      </c>
      <c r="G357" s="22">
        <v>8032.9999999999982</v>
      </c>
      <c r="H357" s="15">
        <v>46239</v>
      </c>
      <c r="I357" s="18">
        <v>46276</v>
      </c>
      <c r="J357" s="6" t="s">
        <v>735</v>
      </c>
      <c r="K357" s="6" t="s">
        <v>110</v>
      </c>
      <c r="L357" s="6" t="s">
        <v>736</v>
      </c>
      <c r="M357" s="18">
        <f>Таблица1[[#This Row],[Дата окончания ]]-7</f>
        <v>46269</v>
      </c>
      <c r="N357" s="18">
        <f>Таблица1[[#This Row],[Дата окончания ]]-5</f>
        <v>46271</v>
      </c>
      <c r="O357" s="15">
        <f>Таблица1[[#This Row],[Дата окончания ]]-1</f>
        <v>46275</v>
      </c>
      <c r="P357" s="6" t="s">
        <v>791</v>
      </c>
    </row>
    <row r="358" spans="1:17" ht="62" x14ac:dyDescent="0.35">
      <c r="A358" s="6" t="s">
        <v>732</v>
      </c>
      <c r="B358" s="14" t="s">
        <v>223</v>
      </c>
      <c r="C358" s="6" t="s">
        <v>733</v>
      </c>
      <c r="D358" s="6" t="s">
        <v>731</v>
      </c>
      <c r="E358" s="6" t="s">
        <v>738</v>
      </c>
      <c r="F358" s="6" t="s">
        <v>734</v>
      </c>
      <c r="G358" s="22">
        <v>13010.7</v>
      </c>
      <c r="H358" s="15">
        <v>46239</v>
      </c>
      <c r="I358" s="18">
        <v>46280</v>
      </c>
      <c r="J358" s="6" t="s">
        <v>735</v>
      </c>
      <c r="K358" s="6" t="s">
        <v>110</v>
      </c>
      <c r="L358" s="6" t="s">
        <v>736</v>
      </c>
      <c r="M358" s="18">
        <f>Таблица1[[#This Row],[Дата окончания ]]-7</f>
        <v>46273</v>
      </c>
      <c r="N358" s="18">
        <f>Таблица1[[#This Row],[Дата окончания ]]-5</f>
        <v>46275</v>
      </c>
      <c r="O358" s="15">
        <f>Таблица1[[#This Row],[Дата окончания ]]-1</f>
        <v>46279</v>
      </c>
      <c r="P358" s="6" t="s">
        <v>792</v>
      </c>
    </row>
    <row r="359" spans="1:17" ht="62" x14ac:dyDescent="0.35">
      <c r="A359" s="6" t="s">
        <v>732</v>
      </c>
      <c r="B359" s="14" t="s">
        <v>226</v>
      </c>
      <c r="C359" s="6" t="s">
        <v>733</v>
      </c>
      <c r="D359" s="6" t="s">
        <v>731</v>
      </c>
      <c r="E359" s="6" t="s">
        <v>738</v>
      </c>
      <c r="F359" s="6" t="s">
        <v>734</v>
      </c>
      <c r="G359" s="22">
        <v>10468.300000000001</v>
      </c>
      <c r="H359" s="15">
        <v>46239</v>
      </c>
      <c r="I359" s="18">
        <v>46280</v>
      </c>
      <c r="J359" s="6" t="s">
        <v>735</v>
      </c>
      <c r="K359" s="6" t="s">
        <v>110</v>
      </c>
      <c r="L359" s="6" t="s">
        <v>736</v>
      </c>
      <c r="M359" s="18">
        <f>Таблица1[[#This Row],[Дата окончания ]]-7</f>
        <v>46273</v>
      </c>
      <c r="N359" s="18">
        <f>Таблица1[[#This Row],[Дата окончания ]]-5</f>
        <v>46275</v>
      </c>
      <c r="O359" s="15">
        <f>Таблица1[[#This Row],[Дата окончания ]]-1</f>
        <v>46279</v>
      </c>
      <c r="P359" s="6" t="s">
        <v>793</v>
      </c>
    </row>
    <row r="360" spans="1:17" ht="31" x14ac:dyDescent="0.35">
      <c r="A360" s="39" t="s">
        <v>780</v>
      </c>
      <c r="B360" s="14" t="s">
        <v>159</v>
      </c>
      <c r="C360" s="6" t="s">
        <v>782</v>
      </c>
      <c r="D360" s="6" t="s">
        <v>781</v>
      </c>
      <c r="E360" s="6" t="s">
        <v>632</v>
      </c>
      <c r="F360" s="6" t="s">
        <v>783</v>
      </c>
      <c r="G360" s="22">
        <v>17245.22</v>
      </c>
      <c r="H360" s="15">
        <v>46239</v>
      </c>
      <c r="I360" s="18">
        <v>46280</v>
      </c>
      <c r="J360" s="6" t="s">
        <v>784</v>
      </c>
      <c r="K360" s="6" t="s">
        <v>110</v>
      </c>
      <c r="L360" s="6" t="s">
        <v>238</v>
      </c>
      <c r="M360" s="18">
        <f>Таблица1[[#This Row],[Дата окончания ]]-7</f>
        <v>46273</v>
      </c>
      <c r="N360" s="18">
        <f>Таблица1[[#This Row],[Дата окончания ]]-5</f>
        <v>46275</v>
      </c>
      <c r="O360" s="15">
        <f>Таблица1[[#This Row],[Дата окончания ]]-1</f>
        <v>46279</v>
      </c>
      <c r="P360" s="6" t="s">
        <v>794</v>
      </c>
    </row>
    <row r="361" spans="1:17" ht="62" x14ac:dyDescent="0.35">
      <c r="A361" s="6" t="s">
        <v>732</v>
      </c>
      <c r="B361" s="14" t="s">
        <v>140</v>
      </c>
      <c r="C361" s="6" t="s">
        <v>733</v>
      </c>
      <c r="D361" s="6" t="s">
        <v>731</v>
      </c>
      <c r="E361" s="6" t="s">
        <v>738</v>
      </c>
      <c r="F361" s="6" t="s">
        <v>734</v>
      </c>
      <c r="G361" s="22">
        <v>11137.5</v>
      </c>
      <c r="H361" s="15">
        <v>46239</v>
      </c>
      <c r="I361" s="18">
        <v>46281</v>
      </c>
      <c r="J361" s="6" t="s">
        <v>735</v>
      </c>
      <c r="K361" s="6" t="s">
        <v>110</v>
      </c>
      <c r="L361" s="6" t="s">
        <v>736</v>
      </c>
      <c r="M361" s="18">
        <f>Таблица1[[#This Row],[Дата окончания ]]-7</f>
        <v>46274</v>
      </c>
      <c r="N361" s="18">
        <f>Таблица1[[#This Row],[Дата окончания ]]-5</f>
        <v>46276</v>
      </c>
      <c r="O361" s="15">
        <f>Таблица1[[#This Row],[Дата окончания ]]-1</f>
        <v>46280</v>
      </c>
      <c r="P361" s="6" t="s">
        <v>795</v>
      </c>
    </row>
    <row r="362" spans="1:17" ht="93" x14ac:dyDescent="0.35">
      <c r="A362" s="6" t="s">
        <v>709</v>
      </c>
      <c r="B362" s="14" t="s">
        <v>166</v>
      </c>
      <c r="C362" s="6" t="s">
        <v>567</v>
      </c>
      <c r="D362" s="6" t="s">
        <v>566</v>
      </c>
      <c r="E362" s="6" t="s">
        <v>711</v>
      </c>
      <c r="F362" s="6" t="s">
        <v>712</v>
      </c>
      <c r="G362" s="22">
        <v>2073.1</v>
      </c>
      <c r="H362" s="15">
        <v>46223</v>
      </c>
      <c r="I362" s="18">
        <v>46282</v>
      </c>
      <c r="J362" s="6" t="s">
        <v>713</v>
      </c>
      <c r="K362" s="6" t="s">
        <v>110</v>
      </c>
      <c r="L362" s="6" t="s">
        <v>714</v>
      </c>
      <c r="M362" s="18">
        <f>Таблица1[[#This Row],[Дата окончания ]]-7</f>
        <v>46275</v>
      </c>
      <c r="N362" s="18"/>
      <c r="O362" s="15">
        <f>Таблица1[[#This Row],[Дата окончания ]]-1</f>
        <v>46281</v>
      </c>
      <c r="P362" s="6" t="s">
        <v>796</v>
      </c>
    </row>
    <row r="363" spans="1:17" ht="62" x14ac:dyDescent="0.35">
      <c r="A363" s="6" t="s">
        <v>690</v>
      </c>
      <c r="B363" s="14" t="s">
        <v>142</v>
      </c>
      <c r="C363" s="6" t="s">
        <v>567</v>
      </c>
      <c r="D363" s="6" t="s">
        <v>566</v>
      </c>
      <c r="E363" s="6" t="s">
        <v>691</v>
      </c>
      <c r="F363" s="6" t="s">
        <v>692</v>
      </c>
      <c r="G363" s="22">
        <v>1203.6999999999998</v>
      </c>
      <c r="H363" s="15">
        <v>46223</v>
      </c>
      <c r="I363" s="18">
        <v>46282</v>
      </c>
      <c r="J363" s="6" t="s">
        <v>693</v>
      </c>
      <c r="K363" s="6" t="s">
        <v>110</v>
      </c>
      <c r="L363" s="6" t="s">
        <v>207</v>
      </c>
      <c r="M363" s="18">
        <f>Таблица1[[#This Row],[Дата окончания ]]-7</f>
        <v>46275</v>
      </c>
      <c r="N363" s="18"/>
      <c r="O363" s="15">
        <f>Таблица1[[#This Row],[Дата окончания ]]-1</f>
        <v>46281</v>
      </c>
      <c r="P363" s="6" t="s">
        <v>797</v>
      </c>
    </row>
    <row r="364" spans="1:17" ht="62" x14ac:dyDescent="0.35">
      <c r="A364" s="6" t="s">
        <v>683</v>
      </c>
      <c r="B364" s="14" t="s">
        <v>166</v>
      </c>
      <c r="C364" s="6" t="s">
        <v>567</v>
      </c>
      <c r="D364" s="6" t="s">
        <v>566</v>
      </c>
      <c r="E364" s="6" t="s">
        <v>685</v>
      </c>
      <c r="F364" s="6" t="s">
        <v>687</v>
      </c>
      <c r="G364" s="22">
        <v>1694.0000000000005</v>
      </c>
      <c r="H364" s="15">
        <v>46223</v>
      </c>
      <c r="I364" s="18">
        <v>46282</v>
      </c>
      <c r="J364" s="6" t="s">
        <v>695</v>
      </c>
      <c r="K364" s="6" t="s">
        <v>110</v>
      </c>
      <c r="L364" s="6" t="s">
        <v>600</v>
      </c>
      <c r="M364" s="18">
        <f>Таблица1[[#This Row],[Дата окончания ]]-7</f>
        <v>46275</v>
      </c>
      <c r="N364" s="18"/>
      <c r="O364" s="15">
        <f>Таблица1[[#This Row],[Дата окончания ]]-1</f>
        <v>46281</v>
      </c>
      <c r="P364" s="6" t="s">
        <v>798</v>
      </c>
    </row>
    <row r="365" spans="1:17" ht="124" x14ac:dyDescent="0.35">
      <c r="A365" s="6" t="s">
        <v>620</v>
      </c>
      <c r="B365" s="14" t="s">
        <v>799</v>
      </c>
      <c r="C365" s="6" t="s">
        <v>626</v>
      </c>
      <c r="D365" s="6" t="s">
        <v>106</v>
      </c>
      <c r="E365" s="6" t="s">
        <v>648</v>
      </c>
      <c r="F365" s="6" t="s">
        <v>649</v>
      </c>
      <c r="G365" s="22">
        <v>10483.23</v>
      </c>
      <c r="H365" s="18">
        <v>46277</v>
      </c>
      <c r="I365" s="18">
        <v>46282</v>
      </c>
      <c r="J365" s="6" t="s">
        <v>650</v>
      </c>
      <c r="K365" s="6" t="s">
        <v>621</v>
      </c>
      <c r="L365" s="6" t="s">
        <v>625</v>
      </c>
      <c r="M365" s="18">
        <f>Таблица1[[#This Row],[Дата окончания ]]-7</f>
        <v>46275</v>
      </c>
      <c r="N365" s="18"/>
      <c r="O365" s="15">
        <f>Таблица1[[#This Row],[Дата окончания ]]-1</f>
        <v>46281</v>
      </c>
      <c r="P365" s="6" t="s">
        <v>635</v>
      </c>
      <c r="Q365" s="13" t="s">
        <v>800</v>
      </c>
    </row>
    <row r="366" spans="1:17" ht="93" x14ac:dyDescent="0.35">
      <c r="A366" s="16" t="s">
        <v>763</v>
      </c>
      <c r="B366" s="14" t="s">
        <v>801</v>
      </c>
      <c r="C366" s="6" t="s">
        <v>666</v>
      </c>
      <c r="D366" s="6" t="s">
        <v>667</v>
      </c>
      <c r="E366" s="6" t="s">
        <v>668</v>
      </c>
      <c r="F366" s="6" t="s">
        <v>669</v>
      </c>
      <c r="G366" s="22">
        <v>15534.64</v>
      </c>
      <c r="H366" s="15">
        <v>46227</v>
      </c>
      <c r="I366" s="18">
        <v>46282</v>
      </c>
      <c r="J366" s="6" t="s">
        <v>236</v>
      </c>
      <c r="K366" s="6" t="s">
        <v>621</v>
      </c>
      <c r="L366" s="6" t="s">
        <v>765</v>
      </c>
      <c r="M366" s="18">
        <f>Таблица1[[#This Row],[Дата окончания ]]-7</f>
        <v>46275</v>
      </c>
      <c r="N366" s="18">
        <f>Таблица1[[#This Row],[Дата окончания ]]-5</f>
        <v>46277</v>
      </c>
      <c r="O366" s="15">
        <f>Таблица1[[#This Row],[Дата окончания ]]-1</f>
        <v>46281</v>
      </c>
      <c r="P366" s="6" t="s">
        <v>802</v>
      </c>
    </row>
    <row r="367" spans="1:17" ht="93" x14ac:dyDescent="0.35">
      <c r="A367" s="6" t="s">
        <v>664</v>
      </c>
      <c r="B367" s="14" t="s">
        <v>803</v>
      </c>
      <c r="C367" s="6" t="s">
        <v>666</v>
      </c>
      <c r="D367" s="6" t="s">
        <v>667</v>
      </c>
      <c r="E367" s="6" t="s">
        <v>668</v>
      </c>
      <c r="F367" s="6" t="s">
        <v>669</v>
      </c>
      <c r="G367" s="22">
        <v>9992.8700000000008</v>
      </c>
      <c r="H367" s="15">
        <v>46227</v>
      </c>
      <c r="I367" s="18">
        <v>46282</v>
      </c>
      <c r="J367" s="6" t="s">
        <v>236</v>
      </c>
      <c r="K367" s="6" t="s">
        <v>621</v>
      </c>
      <c r="L367" s="6" t="s">
        <v>670</v>
      </c>
      <c r="M367" s="18">
        <f>Таблица1[[#This Row],[Дата окончания ]]-7</f>
        <v>46275</v>
      </c>
      <c r="N367" s="18">
        <f>Таблица1[[#This Row],[Дата окончания ]]-5</f>
        <v>46277</v>
      </c>
      <c r="O367" s="15">
        <f>Таблица1[[#This Row],[Дата окончания ]]-1</f>
        <v>46281</v>
      </c>
      <c r="P367" s="6" t="s">
        <v>804</v>
      </c>
    </row>
    <row r="368" spans="1:17" ht="62" x14ac:dyDescent="0.35">
      <c r="A368" s="6" t="s">
        <v>732</v>
      </c>
      <c r="B368" s="14" t="s">
        <v>141</v>
      </c>
      <c r="C368" s="6" t="s">
        <v>733</v>
      </c>
      <c r="D368" s="6" t="s">
        <v>731</v>
      </c>
      <c r="E368" s="6" t="s">
        <v>738</v>
      </c>
      <c r="F368" s="6" t="s">
        <v>734</v>
      </c>
      <c r="G368" s="21">
        <v>12164.8</v>
      </c>
      <c r="H368" s="15">
        <v>46239</v>
      </c>
      <c r="I368" s="18">
        <v>46283</v>
      </c>
      <c r="J368" s="6" t="s">
        <v>735</v>
      </c>
      <c r="K368" s="6" t="s">
        <v>110</v>
      </c>
      <c r="L368" s="6" t="s">
        <v>736</v>
      </c>
      <c r="M368" s="18">
        <f>Таблица1[[#This Row],[Дата окончания ]]-7</f>
        <v>46276</v>
      </c>
      <c r="N368" s="18">
        <f>Таблица1[[#This Row],[Дата окончания ]]-5</f>
        <v>46278</v>
      </c>
      <c r="O368" s="15">
        <f>Таблица1[[#This Row],[Дата окончания ]]-1</f>
        <v>46282</v>
      </c>
      <c r="P368" s="6" t="s">
        <v>805</v>
      </c>
    </row>
    <row r="369" spans="1:16" ht="31" x14ac:dyDescent="0.35">
      <c r="A369" s="39" t="s">
        <v>780</v>
      </c>
      <c r="B369" s="14" t="s">
        <v>162</v>
      </c>
      <c r="C369" s="6" t="s">
        <v>782</v>
      </c>
      <c r="D369" s="6" t="s">
        <v>781</v>
      </c>
      <c r="E369" s="6" t="s">
        <v>632</v>
      </c>
      <c r="F369" s="6" t="s">
        <v>783</v>
      </c>
      <c r="G369" s="22">
        <v>18308.45</v>
      </c>
      <c r="H369" s="15">
        <v>46239</v>
      </c>
      <c r="I369" s="18">
        <v>46283</v>
      </c>
      <c r="J369" s="6" t="s">
        <v>784</v>
      </c>
      <c r="K369" s="6" t="s">
        <v>110</v>
      </c>
      <c r="L369" s="6" t="s">
        <v>238</v>
      </c>
      <c r="M369" s="18">
        <f>Таблица1[[#This Row],[Дата окончания ]]-7</f>
        <v>46276</v>
      </c>
      <c r="N369" s="18">
        <f>Таблица1[[#This Row],[Дата окончания ]]-5</f>
        <v>46278</v>
      </c>
      <c r="O369" s="15">
        <f>Таблица1[[#This Row],[Дата окончания ]]-1</f>
        <v>46282</v>
      </c>
      <c r="P369" s="6" t="s">
        <v>806</v>
      </c>
    </row>
    <row r="370" spans="1:16" ht="93" x14ac:dyDescent="0.35">
      <c r="A370" s="6" t="s">
        <v>763</v>
      </c>
      <c r="B370" s="14" t="s">
        <v>808</v>
      </c>
      <c r="C370" s="6" t="s">
        <v>666</v>
      </c>
      <c r="D370" s="6" t="s">
        <v>667</v>
      </c>
      <c r="E370" s="6" t="s">
        <v>668</v>
      </c>
      <c r="F370" s="6" t="s">
        <v>669</v>
      </c>
      <c r="G370" s="22">
        <v>15733.729999999998</v>
      </c>
      <c r="H370" s="15">
        <v>46227</v>
      </c>
      <c r="I370" s="18">
        <v>46283</v>
      </c>
      <c r="J370" s="6" t="s">
        <v>236</v>
      </c>
      <c r="K370" s="6" t="s">
        <v>621</v>
      </c>
      <c r="L370" s="6" t="s">
        <v>765</v>
      </c>
      <c r="M370" s="18">
        <f>Таблица1[[#This Row],[Дата окончания ]]-7</f>
        <v>46276</v>
      </c>
      <c r="N370" s="18">
        <f>Таблица1[[#This Row],[Дата окончания ]]-5</f>
        <v>46278</v>
      </c>
      <c r="O370" s="15">
        <f>Таблица1[[#This Row],[Дата окончания ]]-1</f>
        <v>46282</v>
      </c>
      <c r="P370" s="6" t="s">
        <v>807</v>
      </c>
    </row>
    <row r="371" spans="1:16" ht="62" x14ac:dyDescent="0.35">
      <c r="A371" s="6" t="s">
        <v>732</v>
      </c>
      <c r="B371" s="14" t="s">
        <v>143</v>
      </c>
      <c r="C371" s="6" t="s">
        <v>733</v>
      </c>
      <c r="D371" s="6" t="s">
        <v>731</v>
      </c>
      <c r="E371" s="6" t="s">
        <v>738</v>
      </c>
      <c r="F371" s="6" t="s">
        <v>734</v>
      </c>
      <c r="G371" s="22">
        <v>11399.700000000003</v>
      </c>
      <c r="H371" s="15">
        <v>46239</v>
      </c>
      <c r="I371" s="18">
        <v>46283</v>
      </c>
      <c r="J371" s="6" t="s">
        <v>735</v>
      </c>
      <c r="K371" s="6" t="s">
        <v>110</v>
      </c>
      <c r="L371" s="6" t="s">
        <v>736</v>
      </c>
      <c r="M371" s="18">
        <f>Таблица1[[#This Row],[Дата окончания ]]-7</f>
        <v>46276</v>
      </c>
      <c r="N371" s="18">
        <f>Таблица1[[#This Row],[Дата окончания ]]-5</f>
        <v>46278</v>
      </c>
      <c r="O371" s="15">
        <f>Таблица1[[#This Row],[Дата окончания ]]-1</f>
        <v>46282</v>
      </c>
      <c r="P371" s="6" t="s">
        <v>809</v>
      </c>
    </row>
    <row r="372" spans="1:16" ht="93" x14ac:dyDescent="0.35">
      <c r="A372" s="12" t="s">
        <v>810</v>
      </c>
      <c r="B372" s="14" t="s">
        <v>157</v>
      </c>
      <c r="C372" s="6" t="s">
        <v>811</v>
      </c>
      <c r="D372" s="6" t="s">
        <v>812</v>
      </c>
      <c r="E372" s="6" t="s">
        <v>816</v>
      </c>
      <c r="F372" s="6" t="s">
        <v>814</v>
      </c>
      <c r="G372" s="22">
        <v>10166.19</v>
      </c>
      <c r="H372" s="15">
        <v>46279</v>
      </c>
      <c r="I372" s="18">
        <v>46287</v>
      </c>
      <c r="J372" s="6" t="s">
        <v>813</v>
      </c>
      <c r="K372" s="6" t="s">
        <v>110</v>
      </c>
      <c r="L372" s="6" t="s">
        <v>207</v>
      </c>
      <c r="M372" s="18">
        <f>Таблица1[[#This Row],[Дата окончания ]]-7</f>
        <v>46280</v>
      </c>
      <c r="N372" s="18">
        <f>Таблица1[[#This Row],[Дата окончания ]]-5</f>
        <v>46282</v>
      </c>
      <c r="O372" s="15">
        <f>Таблица1[[#This Row],[Дата окончания ]]-1</f>
        <v>46286</v>
      </c>
      <c r="P372" s="6" t="s">
        <v>815</v>
      </c>
    </row>
    <row r="373" spans="1:16" ht="62" x14ac:dyDescent="0.35">
      <c r="A373" s="6" t="s">
        <v>819</v>
      </c>
      <c r="B373" s="14" t="s">
        <v>157</v>
      </c>
      <c r="C373" s="6" t="s">
        <v>567</v>
      </c>
      <c r="D373" s="6" t="s">
        <v>566</v>
      </c>
      <c r="E373" s="6" t="s">
        <v>574</v>
      </c>
      <c r="F373" s="6" t="s">
        <v>817</v>
      </c>
      <c r="G373" s="22">
        <v>3970.38</v>
      </c>
      <c r="H373" s="15">
        <v>46275</v>
      </c>
      <c r="I373" s="18">
        <v>46287</v>
      </c>
      <c r="J373" s="6" t="s">
        <v>818</v>
      </c>
      <c r="K373" s="6" t="s">
        <v>110</v>
      </c>
      <c r="L373" s="6" t="s">
        <v>600</v>
      </c>
      <c r="M373" s="18">
        <f>Таблица1[[#This Row],[Дата окончания ]]-7</f>
        <v>46280</v>
      </c>
      <c r="N373" s="18">
        <f>Таблица1[[#This Row],[Дата окончания ]]-5</f>
        <v>46282</v>
      </c>
      <c r="O373" s="15">
        <f>Таблица1[[#This Row],[Дата окончания ]]-1</f>
        <v>46286</v>
      </c>
      <c r="P373" s="6" t="s">
        <v>773</v>
      </c>
    </row>
    <row r="374" spans="1:16" ht="62" x14ac:dyDescent="0.35">
      <c r="A374" s="6" t="s">
        <v>820</v>
      </c>
      <c r="B374" s="14" t="s">
        <v>157</v>
      </c>
      <c r="C374" s="6" t="s">
        <v>567</v>
      </c>
      <c r="D374" s="6" t="s">
        <v>566</v>
      </c>
      <c r="E374" s="6" t="s">
        <v>821</v>
      </c>
      <c r="F374" s="6" t="s">
        <v>822</v>
      </c>
      <c r="G374" s="22">
        <v>174.5</v>
      </c>
      <c r="H374" s="15">
        <v>46275</v>
      </c>
      <c r="I374" s="18">
        <v>46287</v>
      </c>
      <c r="J374" s="6" t="s">
        <v>823</v>
      </c>
      <c r="K374" s="6" t="s">
        <v>110</v>
      </c>
      <c r="L374" s="6" t="s">
        <v>600</v>
      </c>
      <c r="M374" s="18">
        <f>Таблица1[[#This Row],[Дата окончания ]]-7</f>
        <v>46280</v>
      </c>
      <c r="N374" s="18">
        <f>Таблица1[[#This Row],[Дата окончания ]]-5</f>
        <v>46282</v>
      </c>
      <c r="O374" s="15">
        <f>Таблица1[[#This Row],[Дата окончания ]]-1</f>
        <v>46286</v>
      </c>
      <c r="P374" s="6" t="s">
        <v>824</v>
      </c>
    </row>
    <row r="375" spans="1:16" ht="62" x14ac:dyDescent="0.35">
      <c r="A375" s="6" t="s">
        <v>684</v>
      </c>
      <c r="B375" s="14" t="s">
        <v>164</v>
      </c>
      <c r="C375" s="6" t="s">
        <v>567</v>
      </c>
      <c r="D375" s="6" t="s">
        <v>566</v>
      </c>
      <c r="E375" s="6" t="s">
        <v>686</v>
      </c>
      <c r="F375" s="6" t="s">
        <v>688</v>
      </c>
      <c r="G375" s="22">
        <v>373.2</v>
      </c>
      <c r="H375" s="15">
        <v>46223</v>
      </c>
      <c r="I375" s="18">
        <v>46287</v>
      </c>
      <c r="J375" s="6" t="s">
        <v>694</v>
      </c>
      <c r="K375" s="6" t="s">
        <v>110</v>
      </c>
      <c r="L375" s="6" t="s">
        <v>486</v>
      </c>
      <c r="M375" s="18">
        <f>Таблица1[[#This Row],[Дата окончания ]]-7</f>
        <v>46280</v>
      </c>
      <c r="N375" s="18">
        <f>Таблица1[[#This Row],[Дата окончания ]]-5</f>
        <v>46282</v>
      </c>
      <c r="O375" s="15">
        <f>Таблица1[[#This Row],[Дата окончания ]]-1</f>
        <v>46286</v>
      </c>
      <c r="P375" s="6" t="s">
        <v>825</v>
      </c>
    </row>
    <row r="376" spans="1:16" ht="62" x14ac:dyDescent="0.35">
      <c r="A376" s="6" t="s">
        <v>732</v>
      </c>
      <c r="B376" s="14" t="s">
        <v>144</v>
      </c>
      <c r="C376" s="6" t="s">
        <v>733</v>
      </c>
      <c r="D376" s="6" t="s">
        <v>731</v>
      </c>
      <c r="E376" s="6" t="s">
        <v>738</v>
      </c>
      <c r="F376" s="6" t="s">
        <v>734</v>
      </c>
      <c r="G376" s="22">
        <v>11667.8</v>
      </c>
      <c r="H376" s="15">
        <v>46239</v>
      </c>
      <c r="I376" s="18">
        <v>46287</v>
      </c>
      <c r="J376" s="6" t="s">
        <v>735</v>
      </c>
      <c r="K376" s="6" t="s">
        <v>110</v>
      </c>
      <c r="L376" s="6" t="s">
        <v>736</v>
      </c>
      <c r="M376" s="18">
        <f>Таблица1[[#This Row],[Дата окончания ]]-7</f>
        <v>46280</v>
      </c>
      <c r="N376" s="18">
        <f>Таблица1[[#This Row],[Дата окончания ]]-5</f>
        <v>46282</v>
      </c>
      <c r="O376" s="15">
        <f>Таблица1[[#This Row],[Дата окончания ]]-1</f>
        <v>46286</v>
      </c>
      <c r="P376" s="6" t="s">
        <v>826</v>
      </c>
    </row>
    <row r="377" spans="1:16" ht="62" x14ac:dyDescent="0.35">
      <c r="A377" s="6" t="s">
        <v>732</v>
      </c>
      <c r="B377" s="14" t="s">
        <v>165</v>
      </c>
      <c r="C377" s="6" t="s">
        <v>733</v>
      </c>
      <c r="D377" s="6" t="s">
        <v>731</v>
      </c>
      <c r="E377" s="6" t="s">
        <v>738</v>
      </c>
      <c r="F377" s="6" t="s">
        <v>734</v>
      </c>
      <c r="G377" s="22">
        <v>12395.099999999999</v>
      </c>
      <c r="H377" s="15">
        <v>46239</v>
      </c>
      <c r="I377" s="18">
        <v>46288</v>
      </c>
      <c r="J377" s="6" t="s">
        <v>735</v>
      </c>
      <c r="K377" s="6" t="s">
        <v>110</v>
      </c>
      <c r="L377" s="6" t="s">
        <v>736</v>
      </c>
      <c r="M377" s="18">
        <f>Таблица1[[#This Row],[Дата окончания ]]-7</f>
        <v>46281</v>
      </c>
      <c r="N377" s="18">
        <f>Таблица1[[#This Row],[Дата окончания ]]-5</f>
        <v>46283</v>
      </c>
      <c r="O377" s="15">
        <f>Таблица1[[#This Row],[Дата окончания ]]-1</f>
        <v>46287</v>
      </c>
      <c r="P377" s="6" t="s">
        <v>827</v>
      </c>
    </row>
    <row r="378" spans="1:16" ht="93" x14ac:dyDescent="0.35">
      <c r="A378" s="6" t="s">
        <v>763</v>
      </c>
      <c r="B378" s="14" t="s">
        <v>828</v>
      </c>
      <c r="C378" s="6" t="s">
        <v>666</v>
      </c>
      <c r="D378" s="6" t="s">
        <v>667</v>
      </c>
      <c r="E378" s="6" t="s">
        <v>668</v>
      </c>
      <c r="F378" s="6" t="s">
        <v>669</v>
      </c>
      <c r="G378" s="22">
        <v>16344.839999999995</v>
      </c>
      <c r="H378" s="15">
        <v>46227</v>
      </c>
      <c r="I378" s="18">
        <v>46288</v>
      </c>
      <c r="J378" s="6" t="s">
        <v>236</v>
      </c>
      <c r="K378" s="6" t="s">
        <v>621</v>
      </c>
      <c r="L378" s="6" t="s">
        <v>765</v>
      </c>
      <c r="M378" s="18">
        <f>Таблица1[[#This Row],[Дата окончания ]]-7</f>
        <v>46281</v>
      </c>
      <c r="N378" s="18">
        <f>Таблица1[[#This Row],[Дата окончания ]]-5</f>
        <v>46283</v>
      </c>
      <c r="O378" s="15">
        <f>Таблица1[[#This Row],[Дата окончания ]]-1</f>
        <v>46287</v>
      </c>
      <c r="P378" s="6" t="s">
        <v>829</v>
      </c>
    </row>
    <row r="379" spans="1:16" ht="62" x14ac:dyDescent="0.35">
      <c r="A379" s="6" t="s">
        <v>732</v>
      </c>
      <c r="B379" s="14" t="s">
        <v>173</v>
      </c>
      <c r="C379" s="6" t="s">
        <v>733</v>
      </c>
      <c r="D379" s="6" t="s">
        <v>731</v>
      </c>
      <c r="E379" s="6" t="s">
        <v>738</v>
      </c>
      <c r="F379" s="6" t="s">
        <v>734</v>
      </c>
      <c r="G379" s="22">
        <v>10974.599999999999</v>
      </c>
      <c r="H379" s="15">
        <v>46239</v>
      </c>
      <c r="I379" s="18">
        <v>46289</v>
      </c>
      <c r="J379" s="6" t="s">
        <v>735</v>
      </c>
      <c r="K379" s="6" t="s">
        <v>110</v>
      </c>
      <c r="L379" s="6" t="s">
        <v>736</v>
      </c>
      <c r="M379" s="18">
        <f>Таблица1[[#This Row],[Дата окончания ]]-7</f>
        <v>46282</v>
      </c>
      <c r="N379" s="18">
        <f>Таблица1[[#This Row],[Дата окончания ]]-5</f>
        <v>46284</v>
      </c>
      <c r="O379" s="15">
        <f>Таблица1[[#This Row],[Дата окончания ]]-1</f>
        <v>46288</v>
      </c>
      <c r="P379" s="6" t="s">
        <v>830</v>
      </c>
    </row>
    <row r="380" spans="1:16" ht="93" x14ac:dyDescent="0.35">
      <c r="A380" s="6" t="s">
        <v>763</v>
      </c>
      <c r="B380" s="14" t="s">
        <v>831</v>
      </c>
      <c r="C380" s="6" t="s">
        <v>666</v>
      </c>
      <c r="D380" s="6" t="s">
        <v>667</v>
      </c>
      <c r="E380" s="6" t="s">
        <v>668</v>
      </c>
      <c r="F380" s="6" t="s">
        <v>669</v>
      </c>
      <c r="G380" s="22">
        <v>6499.62</v>
      </c>
      <c r="H380" s="15">
        <v>46227</v>
      </c>
      <c r="I380" s="18">
        <v>46289</v>
      </c>
      <c r="J380" s="6" t="s">
        <v>236</v>
      </c>
      <c r="K380" s="6" t="s">
        <v>621</v>
      </c>
      <c r="L380" s="6" t="s">
        <v>765</v>
      </c>
      <c r="M380" s="18">
        <f>Таблица1[[#This Row],[Дата окончания ]]-7</f>
        <v>46282</v>
      </c>
      <c r="N380" s="18">
        <f>Таблица1[[#This Row],[Дата окончания ]]-5</f>
        <v>46284</v>
      </c>
      <c r="O380" s="15">
        <f>Таблица1[[#This Row],[Дата окончания ]]-1</f>
        <v>46288</v>
      </c>
      <c r="P380" s="6" t="s">
        <v>832</v>
      </c>
    </row>
    <row r="381" spans="1:16" ht="62" x14ac:dyDescent="0.35">
      <c r="A381" s="6" t="s">
        <v>833</v>
      </c>
      <c r="B381" s="14" t="s">
        <v>157</v>
      </c>
      <c r="C381" s="6" t="s">
        <v>835</v>
      </c>
      <c r="D381" s="6" t="s">
        <v>834</v>
      </c>
      <c r="E381" s="6" t="s">
        <v>738</v>
      </c>
      <c r="F381" s="6" t="s">
        <v>734</v>
      </c>
      <c r="G381" s="22">
        <v>13210.8</v>
      </c>
      <c r="H381" s="18">
        <v>46269</v>
      </c>
      <c r="I381" s="18">
        <v>46289</v>
      </c>
      <c r="J381" s="6" t="s">
        <v>236</v>
      </c>
      <c r="K381" s="6" t="s">
        <v>621</v>
      </c>
      <c r="L381" s="6" t="s">
        <v>765</v>
      </c>
      <c r="M381" s="18">
        <f>Таблица1[[#This Row],[Дата окончания ]]-7</f>
        <v>46282</v>
      </c>
      <c r="N381" s="18">
        <f>Таблица1[[#This Row],[Дата окончания ]]-5</f>
        <v>46284</v>
      </c>
      <c r="O381" s="15">
        <f>Таблица1[[#This Row],[Дата окончания ]]-1</f>
        <v>46288</v>
      </c>
      <c r="P381" s="6" t="s">
        <v>836</v>
      </c>
    </row>
    <row r="382" spans="1:16" ht="31" x14ac:dyDescent="0.35">
      <c r="A382" s="6" t="s">
        <v>780</v>
      </c>
      <c r="B382" s="14" t="s">
        <v>164</v>
      </c>
      <c r="C382" s="6" t="s">
        <v>782</v>
      </c>
      <c r="D382" s="6" t="s">
        <v>781</v>
      </c>
      <c r="E382" s="6" t="s">
        <v>632</v>
      </c>
      <c r="F382" s="6" t="s">
        <v>783</v>
      </c>
      <c r="G382" s="6">
        <v>20257.05</v>
      </c>
      <c r="H382" s="15">
        <v>46239</v>
      </c>
      <c r="I382" s="18">
        <v>46289</v>
      </c>
      <c r="J382" s="6" t="s">
        <v>784</v>
      </c>
      <c r="K382" s="6" t="s">
        <v>110</v>
      </c>
      <c r="L382" s="6" t="s">
        <v>238</v>
      </c>
      <c r="M382" s="18">
        <f>Таблица1[[#This Row],[Дата окончания ]]-7</f>
        <v>46282</v>
      </c>
      <c r="N382" s="18">
        <f>Таблица1[[#This Row],[Дата окончания ]]-5</f>
        <v>46284</v>
      </c>
      <c r="O382" s="15">
        <f>Таблица1[[#This Row],[Дата окончания ]]-1</f>
        <v>46288</v>
      </c>
      <c r="P382" s="6" t="s">
        <v>837</v>
      </c>
    </row>
    <row r="383" spans="1:16" ht="93" x14ac:dyDescent="0.35">
      <c r="A383" s="6" t="s">
        <v>664</v>
      </c>
      <c r="B383" s="14" t="s">
        <v>838</v>
      </c>
      <c r="C383" s="6" t="s">
        <v>666</v>
      </c>
      <c r="D383" s="6" t="s">
        <v>667</v>
      </c>
      <c r="E383" s="6" t="s">
        <v>668</v>
      </c>
      <c r="F383" s="6" t="s">
        <v>669</v>
      </c>
      <c r="G383" s="22">
        <v>4386.25</v>
      </c>
      <c r="H383" s="15">
        <v>46227</v>
      </c>
      <c r="I383" s="18">
        <v>46289</v>
      </c>
      <c r="J383" s="6" t="s">
        <v>236</v>
      </c>
      <c r="K383" s="6" t="s">
        <v>621</v>
      </c>
      <c r="L383" s="6" t="s">
        <v>670</v>
      </c>
      <c r="M383" s="18">
        <f>Таблица1[[#This Row],[Дата окончания ]]-7</f>
        <v>46282</v>
      </c>
      <c r="N383" s="18">
        <f>Таблица1[[#This Row],[Дата окончания ]]-5</f>
        <v>46284</v>
      </c>
      <c r="O383" s="15">
        <f>Таблица1[[#This Row],[Дата окончания ]]-1</f>
        <v>46288</v>
      </c>
      <c r="P383" s="6" t="s">
        <v>839</v>
      </c>
    </row>
    <row r="384" spans="1:16" ht="31" x14ac:dyDescent="0.35">
      <c r="A384" s="6" t="s">
        <v>780</v>
      </c>
      <c r="B384" s="14" t="s">
        <v>166</v>
      </c>
      <c r="C384" s="6" t="s">
        <v>782</v>
      </c>
      <c r="D384" s="6" t="s">
        <v>781</v>
      </c>
      <c r="E384" s="6" t="s">
        <v>632</v>
      </c>
      <c r="F384" s="6" t="s">
        <v>783</v>
      </c>
      <c r="G384" s="22">
        <v>20224.419999999998</v>
      </c>
      <c r="H384" s="15">
        <v>46239</v>
      </c>
      <c r="I384" s="18">
        <v>46290</v>
      </c>
      <c r="J384" s="6" t="s">
        <v>784</v>
      </c>
      <c r="K384" s="6" t="s">
        <v>110</v>
      </c>
      <c r="L384" s="6" t="s">
        <v>238</v>
      </c>
      <c r="M384" s="18">
        <f>Таблица1[[#This Row],[Дата окончания ]]-7</f>
        <v>46283</v>
      </c>
      <c r="N384" s="18">
        <f>Таблица1[[#This Row],[Дата окончания ]]-5</f>
        <v>46285</v>
      </c>
      <c r="O384" s="15">
        <f>Таблица1[[#This Row],[Дата окончания ]]-1</f>
        <v>46289</v>
      </c>
      <c r="P384" s="6" t="s">
        <v>840</v>
      </c>
    </row>
    <row r="385" spans="1:17" ht="62" x14ac:dyDescent="0.35">
      <c r="A385" s="6" t="s">
        <v>833</v>
      </c>
      <c r="B385" s="14" t="s">
        <v>159</v>
      </c>
      <c r="C385" s="6" t="s">
        <v>835</v>
      </c>
      <c r="D385" s="6" t="s">
        <v>834</v>
      </c>
      <c r="E385" s="6" t="s">
        <v>738</v>
      </c>
      <c r="F385" s="6" t="s">
        <v>734</v>
      </c>
      <c r="G385" s="22">
        <v>9123.4</v>
      </c>
      <c r="H385" s="18">
        <v>46269</v>
      </c>
      <c r="I385" s="18">
        <v>46293</v>
      </c>
      <c r="J385" s="6" t="s">
        <v>236</v>
      </c>
      <c r="K385" s="6" t="s">
        <v>621</v>
      </c>
      <c r="L385" s="6" t="s">
        <v>765</v>
      </c>
      <c r="M385" s="18">
        <f>Таблица1[[#This Row],[Дата окончания ]]-7</f>
        <v>46286</v>
      </c>
      <c r="N385" s="18">
        <f>Таблица1[[#This Row],[Дата окончания ]]-5</f>
        <v>46288</v>
      </c>
      <c r="O385" s="15">
        <f>Таблица1[[#This Row],[Дата окончания ]]-1</f>
        <v>46292</v>
      </c>
      <c r="P385" s="6" t="s">
        <v>841</v>
      </c>
    </row>
    <row r="386" spans="1:17" ht="62" x14ac:dyDescent="0.35">
      <c r="A386" s="6" t="s">
        <v>732</v>
      </c>
      <c r="B386" s="14" t="s">
        <v>175</v>
      </c>
      <c r="C386" s="6" t="s">
        <v>733</v>
      </c>
      <c r="D386" s="6" t="s">
        <v>731</v>
      </c>
      <c r="E386" s="6" t="s">
        <v>738</v>
      </c>
      <c r="F386" s="6" t="s">
        <v>734</v>
      </c>
      <c r="G386" s="22">
        <v>3288.2000000000003</v>
      </c>
      <c r="H386" s="15">
        <v>46239</v>
      </c>
      <c r="I386" s="18">
        <v>46293</v>
      </c>
      <c r="J386" s="6" t="s">
        <v>735</v>
      </c>
      <c r="K386" s="6" t="s">
        <v>110</v>
      </c>
      <c r="L386" s="6" t="s">
        <v>736</v>
      </c>
      <c r="M386" s="18">
        <f>Таблица1[[#This Row],[Дата окончания ]]-7</f>
        <v>46286</v>
      </c>
      <c r="N386" s="18">
        <f>Таблица1[[#This Row],[Дата окончания ]]-5</f>
        <v>46288</v>
      </c>
      <c r="O386" s="15">
        <f>Таблица1[[#This Row],[Дата окончания ]]-1</f>
        <v>46292</v>
      </c>
      <c r="P386" s="6" t="s">
        <v>842</v>
      </c>
    </row>
    <row r="387" spans="1:17" ht="62" x14ac:dyDescent="0.35">
      <c r="A387" s="6" t="s">
        <v>833</v>
      </c>
      <c r="B387" s="14" t="s">
        <v>162</v>
      </c>
      <c r="C387" s="6" t="s">
        <v>835</v>
      </c>
      <c r="D387" s="6" t="s">
        <v>834</v>
      </c>
      <c r="E387" s="6" t="s">
        <v>738</v>
      </c>
      <c r="F387" s="6" t="s">
        <v>734</v>
      </c>
      <c r="G387" s="22">
        <v>13013.1</v>
      </c>
      <c r="H387" s="18">
        <v>46269</v>
      </c>
      <c r="I387" s="18">
        <v>46293</v>
      </c>
      <c r="J387" s="6" t="s">
        <v>236</v>
      </c>
      <c r="K387" s="6" t="s">
        <v>621</v>
      </c>
      <c r="L387" s="6" t="s">
        <v>765</v>
      </c>
      <c r="M387" s="18">
        <f>Таблица1[[#This Row],[Дата окончания ]]-7</f>
        <v>46286</v>
      </c>
      <c r="N387" s="18">
        <f>Таблица1[[#This Row],[Дата окончания ]]-5</f>
        <v>46288</v>
      </c>
      <c r="O387" s="15">
        <f>Таблица1[[#This Row],[Дата окончания ]]-1</f>
        <v>46292</v>
      </c>
      <c r="P387" s="6" t="s">
        <v>843</v>
      </c>
    </row>
    <row r="388" spans="1:17" ht="93" x14ac:dyDescent="0.35">
      <c r="A388" s="6" t="s">
        <v>763</v>
      </c>
      <c r="B388" s="14" t="s">
        <v>844</v>
      </c>
      <c r="C388" s="6" t="s">
        <v>666</v>
      </c>
      <c r="D388" s="6" t="s">
        <v>667</v>
      </c>
      <c r="E388" s="6" t="s">
        <v>668</v>
      </c>
      <c r="F388" s="6" t="s">
        <v>669</v>
      </c>
      <c r="G388" s="22">
        <v>10444</v>
      </c>
      <c r="H388" s="15">
        <v>46227</v>
      </c>
      <c r="I388" s="18">
        <v>46295</v>
      </c>
      <c r="J388" s="6" t="s">
        <v>236</v>
      </c>
      <c r="K388" s="6" t="s">
        <v>621</v>
      </c>
      <c r="L388" s="6" t="s">
        <v>765</v>
      </c>
      <c r="M388" s="18">
        <f>Таблица1[[#This Row],[Дата окончания ]]-7</f>
        <v>46288</v>
      </c>
      <c r="N388" s="18">
        <f>Таблица1[[#This Row],[Дата окончания ]]-5</f>
        <v>46290</v>
      </c>
      <c r="O388" s="15">
        <f>Таблица1[[#This Row],[Дата окончания ]]-1</f>
        <v>46294</v>
      </c>
      <c r="P388" s="6" t="s">
        <v>845</v>
      </c>
    </row>
    <row r="389" spans="1:17" ht="62" x14ac:dyDescent="0.35">
      <c r="A389" s="6" t="s">
        <v>833</v>
      </c>
      <c r="B389" s="14" t="s">
        <v>164</v>
      </c>
      <c r="C389" s="6" t="s">
        <v>835</v>
      </c>
      <c r="D389" s="6" t="s">
        <v>834</v>
      </c>
      <c r="E389" s="6" t="s">
        <v>738</v>
      </c>
      <c r="F389" s="6" t="s">
        <v>734</v>
      </c>
      <c r="G389" s="22">
        <v>11850.9</v>
      </c>
      <c r="H389" s="18">
        <v>46269</v>
      </c>
      <c r="I389" s="18">
        <v>46295</v>
      </c>
      <c r="J389" s="6" t="s">
        <v>236</v>
      </c>
      <c r="K389" s="6" t="s">
        <v>621</v>
      </c>
      <c r="L389" s="6" t="s">
        <v>765</v>
      </c>
      <c r="M389" s="18">
        <f>Таблица1[[#This Row],[Дата окончания ]]-7</f>
        <v>46288</v>
      </c>
      <c r="N389" s="18">
        <f>Таблица1[[#This Row],[Дата окончания ]]-5</f>
        <v>46290</v>
      </c>
      <c r="O389" s="15">
        <f>Таблица1[[#This Row],[Дата окончания ]]-1</f>
        <v>46294</v>
      </c>
      <c r="P389" s="6" t="s">
        <v>846</v>
      </c>
    </row>
    <row r="390" spans="1:17" ht="93" x14ac:dyDescent="0.35">
      <c r="A390" s="6" t="s">
        <v>664</v>
      </c>
      <c r="B390" s="14" t="s">
        <v>847</v>
      </c>
      <c r="C390" s="6" t="s">
        <v>666</v>
      </c>
      <c r="D390" s="6" t="s">
        <v>667</v>
      </c>
      <c r="E390" s="6" t="s">
        <v>668</v>
      </c>
      <c r="F390" s="6" t="s">
        <v>669</v>
      </c>
      <c r="G390" s="22">
        <v>4526.8599999999997</v>
      </c>
      <c r="H390" s="15">
        <v>46227</v>
      </c>
      <c r="I390" s="18">
        <v>46295</v>
      </c>
      <c r="J390" s="6" t="s">
        <v>236</v>
      </c>
      <c r="K390" s="6" t="s">
        <v>621</v>
      </c>
      <c r="L390" s="6" t="s">
        <v>670</v>
      </c>
      <c r="M390" s="18">
        <f>Таблица1[[#This Row],[Дата окончания ]]-7</f>
        <v>46288</v>
      </c>
      <c r="N390" s="18">
        <f>Таблица1[[#This Row],[Дата окончания ]]-5</f>
        <v>46290</v>
      </c>
      <c r="O390" s="15">
        <f>Таблица1[[#This Row],[Дата окончания ]]-1</f>
        <v>46294</v>
      </c>
      <c r="P390" s="6" t="s">
        <v>848</v>
      </c>
    </row>
    <row r="391" spans="1:17" ht="31" x14ac:dyDescent="0.35">
      <c r="A391" s="6" t="s">
        <v>780</v>
      </c>
      <c r="B391" s="14" t="s">
        <v>142</v>
      </c>
      <c r="C391" s="6" t="s">
        <v>782</v>
      </c>
      <c r="D391" s="6" t="s">
        <v>781</v>
      </c>
      <c r="E391" s="6" t="s">
        <v>632</v>
      </c>
      <c r="F391" s="6" t="s">
        <v>783</v>
      </c>
      <c r="G391" s="22">
        <v>19801.13</v>
      </c>
      <c r="H391" s="15">
        <v>46239</v>
      </c>
      <c r="I391" s="18">
        <v>46295</v>
      </c>
      <c r="J391" s="6" t="s">
        <v>784</v>
      </c>
      <c r="K391" s="6" t="s">
        <v>110</v>
      </c>
      <c r="L391" s="6" t="s">
        <v>238</v>
      </c>
      <c r="M391" s="18">
        <f>Таблица1[[#This Row],[Дата окончания ]]-7</f>
        <v>46288</v>
      </c>
      <c r="N391" s="18">
        <f>Таблица1[[#This Row],[Дата окончания ]]-5</f>
        <v>46290</v>
      </c>
      <c r="O391" s="15">
        <f>Таблица1[[#This Row],[Дата окончания ]]-1</f>
        <v>46294</v>
      </c>
      <c r="P391" s="6" t="s">
        <v>849</v>
      </c>
    </row>
    <row r="392" spans="1:17" ht="31" x14ac:dyDescent="0.35">
      <c r="A392" s="6" t="s">
        <v>780</v>
      </c>
      <c r="B392" s="14" t="s">
        <v>152</v>
      </c>
      <c r="C392" s="6" t="s">
        <v>782</v>
      </c>
      <c r="D392" s="6" t="s">
        <v>781</v>
      </c>
      <c r="E392" s="6" t="s">
        <v>632</v>
      </c>
      <c r="F392" s="6" t="s">
        <v>783</v>
      </c>
      <c r="G392" s="22">
        <v>16900.849999999999</v>
      </c>
      <c r="H392" s="15">
        <v>46239</v>
      </c>
      <c r="I392" s="18">
        <v>46296</v>
      </c>
      <c r="J392" s="6" t="s">
        <v>784</v>
      </c>
      <c r="K392" s="6" t="s">
        <v>110</v>
      </c>
      <c r="L392" s="6" t="s">
        <v>238</v>
      </c>
      <c r="M392" s="18">
        <f>Таблица1[[#This Row],[Дата окончания ]]-7</f>
        <v>46289</v>
      </c>
      <c r="N392" s="18">
        <f>Таблица1[[#This Row],[Дата окончания ]]-5</f>
        <v>46291</v>
      </c>
      <c r="O392" s="15">
        <f>Таблица1[[#This Row],[Дата окончания ]]-1</f>
        <v>46295</v>
      </c>
      <c r="P392" s="6" t="s">
        <v>850</v>
      </c>
    </row>
    <row r="393" spans="1:17" ht="62" x14ac:dyDescent="0.35">
      <c r="A393" s="6" t="s">
        <v>833</v>
      </c>
      <c r="B393" s="14" t="s">
        <v>166</v>
      </c>
      <c r="C393" s="6" t="s">
        <v>835</v>
      </c>
      <c r="D393" s="6" t="s">
        <v>834</v>
      </c>
      <c r="E393" s="6" t="s">
        <v>738</v>
      </c>
      <c r="F393" s="6" t="s">
        <v>734</v>
      </c>
      <c r="G393" s="22">
        <v>13.893000000000001</v>
      </c>
      <c r="H393" s="18">
        <v>46269</v>
      </c>
      <c r="I393" s="18">
        <v>46296</v>
      </c>
      <c r="J393" s="6" t="s">
        <v>236</v>
      </c>
      <c r="K393" s="6" t="s">
        <v>621</v>
      </c>
      <c r="L393" s="6" t="s">
        <v>765</v>
      </c>
      <c r="M393" s="18">
        <f>Таблица1[[#This Row],[Дата окончания ]]-7</f>
        <v>46289</v>
      </c>
      <c r="N393" s="18">
        <f>Таблица1[[#This Row],[Дата окончания ]]-5</f>
        <v>46291</v>
      </c>
      <c r="O393" s="15">
        <f>Таблица1[[#This Row],[Дата окончания ]]-1</f>
        <v>46295</v>
      </c>
      <c r="P393" s="6" t="s">
        <v>851</v>
      </c>
    </row>
    <row r="394" spans="1:17" ht="93" x14ac:dyDescent="0.35">
      <c r="A394" s="6" t="s">
        <v>763</v>
      </c>
      <c r="B394" s="14" t="s">
        <v>852</v>
      </c>
      <c r="C394" s="6" t="s">
        <v>666</v>
      </c>
      <c r="D394" s="6" t="s">
        <v>667</v>
      </c>
      <c r="E394" s="6" t="s">
        <v>668</v>
      </c>
      <c r="F394" s="6" t="s">
        <v>669</v>
      </c>
      <c r="G394" s="22">
        <v>16641.34</v>
      </c>
      <c r="H394" s="15">
        <v>46227</v>
      </c>
      <c r="I394" s="18">
        <v>46296</v>
      </c>
      <c r="J394" s="6" t="s">
        <v>236</v>
      </c>
      <c r="K394" s="6" t="s">
        <v>621</v>
      </c>
      <c r="L394" s="6" t="s">
        <v>765</v>
      </c>
      <c r="M394" s="18">
        <f>Таблица1[[#This Row],[Дата окончания ]]-7</f>
        <v>46289</v>
      </c>
      <c r="N394" s="18">
        <f>Таблица1[[#This Row],[Дата окончания ]]-5</f>
        <v>46291</v>
      </c>
      <c r="O394" s="15">
        <f>Таблица1[[#This Row],[Дата окончания ]]-1</f>
        <v>46295</v>
      </c>
      <c r="P394" s="6" t="s">
        <v>853</v>
      </c>
    </row>
    <row r="395" spans="1:17" ht="124" x14ac:dyDescent="0.35">
      <c r="A395" s="6" t="s">
        <v>620</v>
      </c>
      <c r="B395" s="14" t="s">
        <v>854</v>
      </c>
      <c r="C395" s="6" t="s">
        <v>626</v>
      </c>
      <c r="D395" s="6" t="s">
        <v>106</v>
      </c>
      <c r="E395" s="6" t="s">
        <v>648</v>
      </c>
      <c r="F395" s="6" t="s">
        <v>649</v>
      </c>
      <c r="G395" s="22">
        <v>8818.91</v>
      </c>
      <c r="H395" s="18">
        <v>46277</v>
      </c>
      <c r="I395" s="18">
        <v>46297</v>
      </c>
      <c r="J395" s="6" t="s">
        <v>650</v>
      </c>
      <c r="K395" s="6" t="s">
        <v>621</v>
      </c>
      <c r="L395" s="6" t="s">
        <v>625</v>
      </c>
      <c r="M395" s="18">
        <f>Таблица1[[#This Row],[Дата окончания ]]-7</f>
        <v>46290</v>
      </c>
      <c r="N395" s="18"/>
      <c r="O395" s="15">
        <f>Таблица1[[#This Row],[Дата окончания ]]-1</f>
        <v>46296</v>
      </c>
      <c r="P395" s="6" t="s">
        <v>635</v>
      </c>
      <c r="Q395" s="13" t="s">
        <v>800</v>
      </c>
    </row>
    <row r="396" spans="1:17" ht="31" x14ac:dyDescent="0.35">
      <c r="A396" s="6" t="s">
        <v>780</v>
      </c>
      <c r="B396" s="14" t="s">
        <v>160</v>
      </c>
      <c r="C396" s="6" t="s">
        <v>630</v>
      </c>
      <c r="D396" s="6" t="s">
        <v>781</v>
      </c>
      <c r="E396" s="6" t="s">
        <v>632</v>
      </c>
      <c r="F396" s="6" t="s">
        <v>783</v>
      </c>
      <c r="G396" s="22">
        <v>16541.88</v>
      </c>
      <c r="H396" s="15">
        <v>46239</v>
      </c>
      <c r="I396" s="18">
        <v>46297</v>
      </c>
      <c r="J396" s="6" t="s">
        <v>784</v>
      </c>
      <c r="K396" s="6" t="s">
        <v>110</v>
      </c>
      <c r="L396" s="6" t="s">
        <v>238</v>
      </c>
      <c r="M396" s="18">
        <f>Таблица1[[#This Row],[Дата окончания ]]-7</f>
        <v>46290</v>
      </c>
      <c r="N396" s="18">
        <f>Таблица1[[#This Row],[Дата окончания ]]-5</f>
        <v>46292</v>
      </c>
      <c r="O396" s="15">
        <f>Таблица1[[#This Row],[Дата окончания ]]-1</f>
        <v>46296</v>
      </c>
      <c r="P396" s="6" t="s">
        <v>855</v>
      </c>
    </row>
    <row r="397" spans="1:17" ht="62" x14ac:dyDescent="0.35">
      <c r="A397" s="6" t="s">
        <v>833</v>
      </c>
      <c r="B397" s="14" t="s">
        <v>142</v>
      </c>
      <c r="C397" s="6" t="s">
        <v>835</v>
      </c>
      <c r="D397" s="6" t="s">
        <v>834</v>
      </c>
      <c r="E397" s="6" t="s">
        <v>738</v>
      </c>
      <c r="F397" s="6" t="s">
        <v>734</v>
      </c>
      <c r="G397" s="22">
        <v>10265.4</v>
      </c>
      <c r="H397" s="18">
        <v>46269</v>
      </c>
      <c r="I397" s="18">
        <v>46300</v>
      </c>
      <c r="J397" s="6" t="s">
        <v>236</v>
      </c>
      <c r="K397" s="6" t="s">
        <v>621</v>
      </c>
      <c r="L397" s="6" t="s">
        <v>765</v>
      </c>
      <c r="M397" s="18">
        <f>Таблица1[[#This Row],[Дата окончания ]]-7</f>
        <v>46293</v>
      </c>
      <c r="N397" s="18">
        <f>Таблица1[[#This Row],[Дата окончания ]]-5</f>
        <v>46295</v>
      </c>
      <c r="O397" s="15">
        <f>Таблица1[[#This Row],[Дата окончания ]]-1</f>
        <v>46299</v>
      </c>
      <c r="P397" s="6" t="s">
        <v>856</v>
      </c>
    </row>
    <row r="398" spans="1:17" ht="124" x14ac:dyDescent="0.35">
      <c r="A398" s="6" t="s">
        <v>620</v>
      </c>
      <c r="B398" s="14" t="s">
        <v>857</v>
      </c>
      <c r="C398" s="6" t="s">
        <v>626</v>
      </c>
      <c r="D398" s="6" t="s">
        <v>106</v>
      </c>
      <c r="E398" s="6" t="s">
        <v>648</v>
      </c>
      <c r="F398" s="6" t="s">
        <v>649</v>
      </c>
      <c r="G398" s="22">
        <v>5343.27</v>
      </c>
      <c r="H398" s="18">
        <v>46277</v>
      </c>
      <c r="I398" s="18">
        <v>46300</v>
      </c>
      <c r="J398" s="6" t="s">
        <v>650</v>
      </c>
      <c r="K398" s="6" t="s">
        <v>621</v>
      </c>
      <c r="L398" s="6" t="s">
        <v>625</v>
      </c>
      <c r="M398" s="18">
        <f>Таблица1[[#This Row],[Дата окончания ]]-7</f>
        <v>46293</v>
      </c>
      <c r="N398" s="18"/>
      <c r="O398" s="15">
        <f>Таблица1[[#This Row],[Дата окончания ]]-1</f>
        <v>46299</v>
      </c>
      <c r="P398" s="6" t="s">
        <v>858</v>
      </c>
      <c r="Q398" s="13" t="s">
        <v>800</v>
      </c>
    </row>
    <row r="399" spans="1:17" ht="46.5" x14ac:dyDescent="0.35">
      <c r="A399" s="6" t="s">
        <v>859</v>
      </c>
      <c r="B399" s="14" t="s">
        <v>157</v>
      </c>
      <c r="C399" s="6" t="s">
        <v>860</v>
      </c>
      <c r="D399" s="6" t="s">
        <v>861</v>
      </c>
      <c r="E399" s="6" t="s">
        <v>862</v>
      </c>
      <c r="F399" s="6" t="s">
        <v>863</v>
      </c>
      <c r="G399" s="22">
        <v>10431.299999999999</v>
      </c>
      <c r="H399" s="15">
        <v>46285</v>
      </c>
      <c r="I399" s="18">
        <v>46301</v>
      </c>
      <c r="J399" s="6" t="s">
        <v>863</v>
      </c>
      <c r="K399" s="6" t="s">
        <v>110</v>
      </c>
      <c r="L399" s="6" t="s">
        <v>864</v>
      </c>
      <c r="M399" s="18">
        <f>Таблица1[[#This Row],[Дата окончания ]]-7</f>
        <v>46294</v>
      </c>
      <c r="N399" s="18">
        <f>Таблица1[[#This Row],[Дата окончания ]]-5</f>
        <v>46296</v>
      </c>
      <c r="O399" s="15">
        <f>Таблица1[[#This Row],[Дата окончания ]]-1</f>
        <v>46300</v>
      </c>
      <c r="P399" s="6" t="s">
        <v>865</v>
      </c>
    </row>
    <row r="400" spans="1:17" ht="46.5" x14ac:dyDescent="0.35">
      <c r="A400" s="6" t="s">
        <v>780</v>
      </c>
      <c r="B400" s="14" t="s">
        <v>161</v>
      </c>
      <c r="C400" s="6" t="s">
        <v>630</v>
      </c>
      <c r="D400" s="6" t="s">
        <v>781</v>
      </c>
      <c r="E400" s="6" t="s">
        <v>632</v>
      </c>
      <c r="F400" s="6" t="s">
        <v>783</v>
      </c>
      <c r="G400" s="22">
        <v>15822.14</v>
      </c>
      <c r="H400" s="15">
        <v>46239</v>
      </c>
      <c r="I400" s="18">
        <v>46301</v>
      </c>
      <c r="J400" s="6" t="s">
        <v>784</v>
      </c>
      <c r="K400" s="6" t="s">
        <v>110</v>
      </c>
      <c r="L400" s="6" t="s">
        <v>238</v>
      </c>
      <c r="M400" s="18">
        <f>Таблица1[[#This Row],[Дата окончания ]]-7</f>
        <v>46294</v>
      </c>
      <c r="N400" s="18">
        <f>Таблица1[[#This Row],[Дата окончания ]]-5</f>
        <v>46296</v>
      </c>
      <c r="O400" s="15">
        <f>Таблица1[[#This Row],[Дата окончания ]]-1</f>
        <v>46300</v>
      </c>
      <c r="P400" s="6" t="s">
        <v>866</v>
      </c>
    </row>
    <row r="401" spans="1:16" ht="31" x14ac:dyDescent="0.35">
      <c r="A401" s="6" t="s">
        <v>763</v>
      </c>
      <c r="B401" s="14" t="s">
        <v>216</v>
      </c>
      <c r="C401" s="6" t="s">
        <v>630</v>
      </c>
      <c r="D401" s="6" t="s">
        <v>781</v>
      </c>
      <c r="E401" s="6" t="s">
        <v>632</v>
      </c>
      <c r="F401" s="6" t="s">
        <v>783</v>
      </c>
      <c r="G401" s="22">
        <v>10085.23</v>
      </c>
      <c r="H401" s="15">
        <v>46239</v>
      </c>
      <c r="I401" s="18">
        <v>46301</v>
      </c>
      <c r="J401" s="6" t="s">
        <v>784</v>
      </c>
      <c r="K401" s="6" t="s">
        <v>110</v>
      </c>
      <c r="L401" s="6" t="s">
        <v>238</v>
      </c>
      <c r="M401" s="18">
        <f>Таблица1[[#This Row],[Дата окончания ]]-7</f>
        <v>46294</v>
      </c>
      <c r="N401" s="18">
        <f>Таблица1[[#This Row],[Дата окончания ]]-5</f>
        <v>46296</v>
      </c>
      <c r="O401" s="15">
        <f>Таблица1[[#This Row],[Дата окончания ]]-1</f>
        <v>46300</v>
      </c>
      <c r="P401" s="6" t="s">
        <v>867</v>
      </c>
    </row>
  </sheetData>
  <phoneticPr fontId="4" type="noConversion"/>
  <conditionalFormatting sqref="A395">
    <cfRule type="expression" dxfId="3" priority="4">
      <formula>A395=""</formula>
    </cfRule>
  </conditionalFormatting>
  <conditionalFormatting sqref="A398">
    <cfRule type="expression" dxfId="2" priority="2">
      <formula>A398=""</formula>
    </cfRule>
  </conditionalFormatting>
  <conditionalFormatting sqref="A400">
    <cfRule type="expression" dxfId="1" priority="1">
      <formula>A400=""</formula>
    </cfRule>
  </conditionalFormatting>
  <conditionalFormatting sqref="A2:P401">
    <cfRule type="expression" dxfId="0" priority="5">
      <formula>A2=""</formula>
    </cfRule>
  </conditionalFormatting>
  <pageMargins left="0.7" right="0.7" top="0.75" bottom="0.75" header="0.3" footer="0.3"/>
  <pageSetup paperSize="9" scale="1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D4A1-C3A2-487B-AC4C-6240704DDCB4}">
  <sheetPr codeName="Лист2"/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B1:M148"/>
  <sheetViews>
    <sheetView zoomScale="85" zoomScaleNormal="85" workbookViewId="0">
      <selection activeCell="A11" sqref="A11:XFD11"/>
    </sheetView>
  </sheetViews>
  <sheetFormatPr defaultColWidth="8.7265625" defaultRowHeight="15.5" x14ac:dyDescent="0.35"/>
  <cols>
    <col min="1" max="1" width="1.81640625" style="6" customWidth="1"/>
    <col min="2" max="2" width="7.1796875" style="6" customWidth="1"/>
    <col min="3" max="3" width="13.7265625" style="6" customWidth="1"/>
    <col min="4" max="4" width="73.26953125" style="6" customWidth="1"/>
    <col min="5" max="5" width="14" style="6" customWidth="1"/>
    <col min="6" max="6" width="12.1796875" style="6" customWidth="1"/>
    <col min="7" max="7" width="30" style="6" customWidth="1"/>
    <col min="8" max="8" width="36.1796875" style="6" customWidth="1"/>
    <col min="9" max="9" width="38.54296875" style="6" customWidth="1"/>
    <col min="10" max="10" width="24.453125" style="6" customWidth="1"/>
    <col min="11" max="11" width="31.1796875" style="6" customWidth="1"/>
    <col min="12" max="12" width="27.1796875" style="6" customWidth="1"/>
    <col min="13" max="13" width="18.26953125" style="6" customWidth="1"/>
    <col min="14" max="16384" width="8.7265625" style="6"/>
  </cols>
  <sheetData>
    <row r="1" spans="2:13" ht="45" x14ac:dyDescent="0.35">
      <c r="B1" s="8" t="s">
        <v>64</v>
      </c>
      <c r="C1" s="8" t="s">
        <v>2</v>
      </c>
      <c r="D1" s="8" t="s">
        <v>6</v>
      </c>
      <c r="E1" s="8" t="s">
        <v>4</v>
      </c>
      <c r="F1" s="8" t="s">
        <v>0</v>
      </c>
      <c r="G1" s="8" t="s">
        <v>1</v>
      </c>
      <c r="H1" s="8" t="s">
        <v>3</v>
      </c>
      <c r="I1" s="8" t="s">
        <v>5</v>
      </c>
      <c r="J1" s="8" t="s">
        <v>7</v>
      </c>
      <c r="K1" s="8" t="s">
        <v>12</v>
      </c>
      <c r="L1" s="8" t="s">
        <v>8</v>
      </c>
      <c r="M1" s="8" t="s">
        <v>13</v>
      </c>
    </row>
    <row r="2" spans="2:13" ht="31" x14ac:dyDescent="0.35">
      <c r="B2" s="3">
        <v>1</v>
      </c>
      <c r="C2" s="1">
        <v>45987</v>
      </c>
      <c r="D2" s="2" t="s">
        <v>37</v>
      </c>
      <c r="E2" s="3"/>
      <c r="F2" s="3" t="s">
        <v>70</v>
      </c>
      <c r="G2" s="2" t="s">
        <v>35</v>
      </c>
      <c r="H2" s="2" t="s">
        <v>39</v>
      </c>
      <c r="I2" s="9">
        <v>45970</v>
      </c>
      <c r="J2" s="3" t="s">
        <v>42</v>
      </c>
      <c r="K2" s="3" t="s">
        <v>11</v>
      </c>
      <c r="L2" s="3" t="s">
        <v>41</v>
      </c>
      <c r="M2" s="7">
        <v>45988</v>
      </c>
    </row>
    <row r="3" spans="2:13" ht="46.5" x14ac:dyDescent="0.35">
      <c r="B3" s="3">
        <v>2</v>
      </c>
      <c r="C3" s="1">
        <v>45987</v>
      </c>
      <c r="D3" s="2" t="s">
        <v>38</v>
      </c>
      <c r="E3" s="3"/>
      <c r="F3" s="3" t="s">
        <v>69</v>
      </c>
      <c r="G3" s="2" t="s">
        <v>35</v>
      </c>
      <c r="H3" s="2" t="s">
        <v>39</v>
      </c>
      <c r="I3" s="7">
        <v>45953</v>
      </c>
      <c r="J3" s="3" t="s">
        <v>44</v>
      </c>
      <c r="K3" s="3" t="s">
        <v>11</v>
      </c>
      <c r="L3" s="3" t="s">
        <v>43</v>
      </c>
      <c r="M3" s="7">
        <v>45988</v>
      </c>
    </row>
    <row r="4" spans="2:13" ht="46.5" x14ac:dyDescent="0.35">
      <c r="B4" s="3">
        <v>3</v>
      </c>
      <c r="C4" s="1">
        <v>45987</v>
      </c>
      <c r="D4" s="2" t="s">
        <v>62</v>
      </c>
      <c r="E4" s="3" t="s">
        <v>76</v>
      </c>
      <c r="F4" s="3" t="s">
        <v>68</v>
      </c>
      <c r="G4" s="2" t="s">
        <v>35</v>
      </c>
      <c r="H4" s="2" t="s">
        <v>39</v>
      </c>
      <c r="I4" s="7">
        <v>45881</v>
      </c>
      <c r="J4" s="3" t="s">
        <v>45</v>
      </c>
      <c r="K4" s="3" t="s">
        <v>11</v>
      </c>
      <c r="L4" s="3" t="s">
        <v>46</v>
      </c>
      <c r="M4" s="7">
        <v>45988</v>
      </c>
    </row>
    <row r="5" spans="2:13" ht="62" x14ac:dyDescent="0.35">
      <c r="B5" s="3">
        <v>4</v>
      </c>
      <c r="C5" s="1">
        <v>45987</v>
      </c>
      <c r="D5" s="2" t="s">
        <v>63</v>
      </c>
      <c r="E5" s="3" t="s">
        <v>77</v>
      </c>
      <c r="F5" s="3" t="s">
        <v>67</v>
      </c>
      <c r="G5" s="2" t="s">
        <v>35</v>
      </c>
      <c r="H5" s="2" t="s">
        <v>39</v>
      </c>
      <c r="I5" s="7">
        <v>45950</v>
      </c>
      <c r="J5" s="3" t="s">
        <v>47</v>
      </c>
      <c r="K5" s="3" t="s">
        <v>11</v>
      </c>
      <c r="L5" s="3" t="s">
        <v>48</v>
      </c>
      <c r="M5" s="7">
        <v>45988</v>
      </c>
    </row>
    <row r="6" spans="2:13" ht="62" x14ac:dyDescent="0.35">
      <c r="B6" s="3">
        <v>5</v>
      </c>
      <c r="C6" s="1">
        <v>45987</v>
      </c>
      <c r="D6" s="2" t="s">
        <v>49</v>
      </c>
      <c r="E6" s="3" t="s">
        <v>78</v>
      </c>
      <c r="F6" s="3" t="s">
        <v>66</v>
      </c>
      <c r="G6" s="2" t="s">
        <v>35</v>
      </c>
      <c r="H6" s="2" t="s">
        <v>39</v>
      </c>
      <c r="I6" s="9">
        <v>45857</v>
      </c>
      <c r="J6" s="3" t="s">
        <v>47</v>
      </c>
      <c r="K6" s="3" t="s">
        <v>11</v>
      </c>
      <c r="L6" s="3" t="s">
        <v>50</v>
      </c>
      <c r="M6" s="7">
        <v>45988</v>
      </c>
    </row>
    <row r="7" spans="2:13" ht="46.5" x14ac:dyDescent="0.35">
      <c r="B7" s="3">
        <v>6</v>
      </c>
      <c r="C7" s="1">
        <v>45987</v>
      </c>
      <c r="D7" s="2" t="s">
        <v>51</v>
      </c>
      <c r="E7" s="3" t="s">
        <v>79</v>
      </c>
      <c r="F7" s="3" t="s">
        <v>65</v>
      </c>
      <c r="G7" s="2" t="s">
        <v>35</v>
      </c>
      <c r="H7" s="2" t="s">
        <v>39</v>
      </c>
      <c r="I7" s="7">
        <v>45801</v>
      </c>
      <c r="J7" s="3" t="s">
        <v>45</v>
      </c>
      <c r="K7" s="3" t="s">
        <v>11</v>
      </c>
      <c r="L7" s="3" t="s">
        <v>52</v>
      </c>
      <c r="M7" s="7">
        <v>45988</v>
      </c>
    </row>
    <row r="8" spans="2:13" ht="46.5" x14ac:dyDescent="0.35">
      <c r="B8" s="3">
        <v>7</v>
      </c>
      <c r="C8" s="1">
        <v>45987</v>
      </c>
      <c r="D8" s="2" t="s">
        <v>53</v>
      </c>
      <c r="E8" s="3" t="s">
        <v>80</v>
      </c>
      <c r="F8" s="3" t="s">
        <v>71</v>
      </c>
      <c r="G8" s="2" t="s">
        <v>35</v>
      </c>
      <c r="H8" s="2" t="s">
        <v>39</v>
      </c>
      <c r="I8" s="7">
        <v>45686</v>
      </c>
      <c r="J8" s="3" t="s">
        <v>45</v>
      </c>
      <c r="K8" s="3" t="s">
        <v>11</v>
      </c>
      <c r="L8" s="3" t="s">
        <v>54</v>
      </c>
      <c r="M8" s="7">
        <v>45988</v>
      </c>
    </row>
    <row r="9" spans="2:13" ht="46.5" x14ac:dyDescent="0.35">
      <c r="B9" s="3">
        <v>8</v>
      </c>
      <c r="C9" s="1">
        <v>45987</v>
      </c>
      <c r="D9" s="2" t="s">
        <v>55</v>
      </c>
      <c r="E9" s="3" t="s">
        <v>77</v>
      </c>
      <c r="F9" s="3" t="s">
        <v>72</v>
      </c>
      <c r="G9" s="2" t="s">
        <v>35</v>
      </c>
      <c r="H9" s="2" t="s">
        <v>39</v>
      </c>
      <c r="I9" s="7">
        <v>45923</v>
      </c>
      <c r="J9" s="3" t="s">
        <v>45</v>
      </c>
      <c r="K9" s="3" t="s">
        <v>11</v>
      </c>
      <c r="L9" s="3" t="s">
        <v>56</v>
      </c>
      <c r="M9" s="7">
        <v>45988</v>
      </c>
    </row>
    <row r="10" spans="2:13" ht="62" x14ac:dyDescent="0.35">
      <c r="B10" s="3">
        <v>9</v>
      </c>
      <c r="C10" s="1">
        <v>45987</v>
      </c>
      <c r="D10" s="2" t="s">
        <v>57</v>
      </c>
      <c r="E10" s="3" t="s">
        <v>81</v>
      </c>
      <c r="F10" s="3" t="s">
        <v>73</v>
      </c>
      <c r="G10" s="2" t="s">
        <v>35</v>
      </c>
      <c r="H10" s="2" t="s">
        <v>39</v>
      </c>
      <c r="I10" s="7">
        <v>45976</v>
      </c>
      <c r="J10" s="3" t="s">
        <v>47</v>
      </c>
      <c r="K10" s="3" t="s">
        <v>11</v>
      </c>
      <c r="L10" s="3" t="s">
        <v>58</v>
      </c>
      <c r="M10" s="7">
        <v>45988</v>
      </c>
    </row>
    <row r="11" spans="2:13" ht="46.5" x14ac:dyDescent="0.35">
      <c r="B11" s="3">
        <v>10</v>
      </c>
      <c r="C11" s="1">
        <v>45987</v>
      </c>
      <c r="D11" s="2" t="s">
        <v>61</v>
      </c>
      <c r="E11" s="3" t="s">
        <v>77</v>
      </c>
      <c r="F11" s="3" t="s">
        <v>74</v>
      </c>
      <c r="G11" s="2" t="s">
        <v>35</v>
      </c>
      <c r="H11" s="2" t="s">
        <v>39</v>
      </c>
      <c r="I11" s="7">
        <v>45968</v>
      </c>
      <c r="J11" s="3" t="s">
        <v>60</v>
      </c>
      <c r="K11" s="3" t="s">
        <v>11</v>
      </c>
      <c r="L11" s="3" t="s">
        <v>59</v>
      </c>
      <c r="M11" s="7">
        <v>45988</v>
      </c>
    </row>
    <row r="12" spans="2:13" s="12" customFormat="1" ht="31" x14ac:dyDescent="0.35">
      <c r="B12" s="5"/>
      <c r="C12" s="11">
        <v>45987</v>
      </c>
      <c r="D12" s="5" t="s">
        <v>36</v>
      </c>
      <c r="E12" s="5"/>
      <c r="F12" s="5" t="s">
        <v>75</v>
      </c>
      <c r="G12" s="5" t="s">
        <v>35</v>
      </c>
      <c r="H12" s="5" t="s">
        <v>39</v>
      </c>
      <c r="I12" s="5"/>
      <c r="J12" s="5"/>
      <c r="K12" s="5" t="s">
        <v>11</v>
      </c>
      <c r="L12" s="5" t="s">
        <v>40</v>
      </c>
      <c r="M12" s="11">
        <v>45988</v>
      </c>
    </row>
    <row r="13" spans="2:13" ht="62" x14ac:dyDescent="0.35">
      <c r="B13" s="3">
        <v>11</v>
      </c>
      <c r="C13" s="1">
        <v>45992</v>
      </c>
      <c r="D13" s="2" t="s">
        <v>32</v>
      </c>
      <c r="E13" s="3"/>
      <c r="F13" s="3" t="s">
        <v>33</v>
      </c>
      <c r="G13" s="3" t="s">
        <v>9</v>
      </c>
      <c r="H13" s="2" t="s">
        <v>31</v>
      </c>
      <c r="I13" s="7">
        <v>45889</v>
      </c>
      <c r="J13" s="3" t="s">
        <v>10</v>
      </c>
      <c r="K13" s="3" t="s">
        <v>11</v>
      </c>
      <c r="L13" s="3" t="s">
        <v>34</v>
      </c>
      <c r="M13" s="7">
        <v>45993</v>
      </c>
    </row>
    <row r="14" spans="2:13" ht="31" x14ac:dyDescent="0.35">
      <c r="B14" s="3">
        <v>12</v>
      </c>
      <c r="C14" s="1">
        <v>46003</v>
      </c>
      <c r="D14" s="3" t="s">
        <v>21</v>
      </c>
      <c r="E14" s="3"/>
      <c r="F14" s="3" t="s">
        <v>15</v>
      </c>
      <c r="G14" s="3" t="s">
        <v>9</v>
      </c>
      <c r="H14" s="2" t="s">
        <v>16</v>
      </c>
      <c r="I14" s="10">
        <v>45970</v>
      </c>
      <c r="J14" s="3" t="s">
        <v>28</v>
      </c>
      <c r="K14" s="3" t="s">
        <v>11</v>
      </c>
      <c r="L14" s="3" t="s">
        <v>29</v>
      </c>
      <c r="M14" s="7">
        <v>46004</v>
      </c>
    </row>
    <row r="15" spans="2:13" ht="46.5" x14ac:dyDescent="0.35">
      <c r="B15" s="3">
        <v>13</v>
      </c>
      <c r="C15" s="1">
        <v>46003</v>
      </c>
      <c r="D15" s="2" t="s">
        <v>17</v>
      </c>
      <c r="E15" s="3"/>
      <c r="F15" s="3" t="s">
        <v>18</v>
      </c>
      <c r="G15" s="3" t="s">
        <v>9</v>
      </c>
      <c r="H15" s="2" t="s">
        <v>16</v>
      </c>
      <c r="I15" s="7">
        <v>45936</v>
      </c>
      <c r="J15" s="3" t="s">
        <v>25</v>
      </c>
      <c r="K15" s="3" t="s">
        <v>11</v>
      </c>
      <c r="L15" s="3" t="s">
        <v>26</v>
      </c>
      <c r="M15" s="7">
        <v>46004</v>
      </c>
    </row>
    <row r="16" spans="2:13" ht="62" x14ac:dyDescent="0.35">
      <c r="B16" s="3">
        <v>14</v>
      </c>
      <c r="C16" s="1">
        <v>46003</v>
      </c>
      <c r="D16" s="2" t="s">
        <v>19</v>
      </c>
      <c r="E16" s="3"/>
      <c r="F16" s="3" t="s">
        <v>20</v>
      </c>
      <c r="G16" s="3" t="s">
        <v>9</v>
      </c>
      <c r="H16" s="2" t="s">
        <v>16</v>
      </c>
      <c r="I16" s="7">
        <v>45945</v>
      </c>
      <c r="J16" s="3" t="s">
        <v>10</v>
      </c>
      <c r="K16" s="3" t="s">
        <v>11</v>
      </c>
      <c r="L16" s="3" t="s">
        <v>27</v>
      </c>
      <c r="M16" s="7">
        <v>46004</v>
      </c>
    </row>
    <row r="17" spans="2:13" ht="46.5" x14ac:dyDescent="0.35">
      <c r="B17" s="3">
        <v>15</v>
      </c>
      <c r="C17" s="1">
        <v>46003</v>
      </c>
      <c r="D17" s="2" t="s">
        <v>22</v>
      </c>
      <c r="E17" s="3"/>
      <c r="F17" s="3" t="s">
        <v>23</v>
      </c>
      <c r="G17" s="3" t="s">
        <v>9</v>
      </c>
      <c r="H17" s="2" t="s">
        <v>16</v>
      </c>
      <c r="I17" s="7">
        <v>45840</v>
      </c>
      <c r="J17" s="3" t="s">
        <v>14</v>
      </c>
      <c r="K17" s="3" t="s">
        <v>11</v>
      </c>
      <c r="L17" s="3" t="s">
        <v>30</v>
      </c>
      <c r="M17" s="7">
        <v>46004</v>
      </c>
    </row>
    <row r="18" spans="2:13" ht="31" x14ac:dyDescent="0.35">
      <c r="B18" s="3">
        <v>16</v>
      </c>
      <c r="C18" s="1">
        <v>46003</v>
      </c>
      <c r="D18" s="3" t="s">
        <v>21</v>
      </c>
      <c r="E18" s="3"/>
      <c r="F18" s="3" t="s">
        <v>24</v>
      </c>
      <c r="G18" s="3" t="s">
        <v>9</v>
      </c>
      <c r="H18" s="2" t="s">
        <v>16</v>
      </c>
      <c r="I18" s="10">
        <v>45970</v>
      </c>
      <c r="J18" s="3" t="s">
        <v>28</v>
      </c>
      <c r="K18" s="3" t="s">
        <v>11</v>
      </c>
      <c r="L18" s="3" t="s">
        <v>29</v>
      </c>
      <c r="M18" s="7">
        <v>46004</v>
      </c>
    </row>
    <row r="19" spans="2:13" x14ac:dyDescent="0.35">
      <c r="B19" s="3"/>
      <c r="C19" s="1"/>
      <c r="D19" s="2"/>
      <c r="E19" s="3"/>
      <c r="F19" s="3"/>
      <c r="G19" s="2"/>
      <c r="H19" s="2"/>
      <c r="I19" s="3"/>
      <c r="J19" s="3"/>
      <c r="K19" s="3"/>
      <c r="L19" s="3"/>
      <c r="M19" s="3"/>
    </row>
    <row r="20" spans="2:13" x14ac:dyDescent="0.35">
      <c r="B20" s="3"/>
      <c r="C20" s="1"/>
      <c r="D20" s="2"/>
      <c r="E20" s="3"/>
      <c r="F20" s="3"/>
      <c r="G20" s="2"/>
      <c r="H20" s="2"/>
      <c r="I20" s="3"/>
      <c r="J20" s="3"/>
      <c r="K20" s="3"/>
      <c r="L20" s="3"/>
      <c r="M20" s="3"/>
    </row>
    <row r="21" spans="2:13" x14ac:dyDescent="0.35">
      <c r="B21" s="3"/>
      <c r="C21" s="1"/>
      <c r="D21" s="2"/>
      <c r="E21" s="3"/>
      <c r="F21" s="3"/>
      <c r="G21" s="2"/>
      <c r="H21" s="2"/>
      <c r="I21" s="3"/>
      <c r="J21" s="3"/>
      <c r="K21" s="3"/>
      <c r="L21" s="3"/>
      <c r="M21" s="3"/>
    </row>
    <row r="22" spans="2:13" x14ac:dyDescent="0.35">
      <c r="B22" s="3"/>
      <c r="C22" s="1"/>
      <c r="D22" s="2"/>
      <c r="E22" s="3"/>
      <c r="F22" s="3"/>
      <c r="G22" s="2"/>
      <c r="H22" s="2"/>
      <c r="I22" s="3"/>
      <c r="J22" s="3"/>
      <c r="K22" s="3"/>
      <c r="L22" s="3"/>
      <c r="M22" s="3"/>
    </row>
    <row r="23" spans="2:13" x14ac:dyDescent="0.35">
      <c r="B23" s="3"/>
      <c r="C23" s="1"/>
      <c r="D23" s="2"/>
      <c r="E23" s="3"/>
      <c r="F23" s="3"/>
      <c r="G23" s="2"/>
      <c r="H23" s="2"/>
      <c r="I23" s="3"/>
      <c r="J23" s="3"/>
      <c r="K23" s="3"/>
      <c r="L23" s="3"/>
      <c r="M23" s="3"/>
    </row>
    <row r="24" spans="2:13" x14ac:dyDescent="0.35">
      <c r="B24" s="3"/>
      <c r="C24" s="1"/>
      <c r="D24" s="2"/>
      <c r="E24" s="3"/>
      <c r="F24" s="3"/>
      <c r="G24" s="2"/>
      <c r="H24" s="2"/>
      <c r="I24" s="3"/>
      <c r="J24" s="3"/>
      <c r="K24" s="3"/>
      <c r="L24" s="3"/>
      <c r="M24" s="3"/>
    </row>
    <row r="25" spans="2:13" x14ac:dyDescent="0.35">
      <c r="B25" s="3"/>
      <c r="C25" s="1"/>
      <c r="D25" s="2"/>
      <c r="E25" s="3"/>
      <c r="F25" s="3"/>
      <c r="G25" s="2"/>
      <c r="H25" s="2"/>
      <c r="I25" s="3"/>
      <c r="J25" s="3"/>
      <c r="K25" s="3"/>
      <c r="L25" s="3"/>
      <c r="M25" s="3"/>
    </row>
    <row r="26" spans="2:13" x14ac:dyDescent="0.35">
      <c r="B26" s="3"/>
      <c r="C26" s="1"/>
      <c r="D26" s="2"/>
      <c r="E26" s="3"/>
      <c r="F26" s="3"/>
      <c r="G26" s="2"/>
      <c r="H26" s="3"/>
      <c r="I26" s="3"/>
      <c r="J26" s="3"/>
      <c r="K26" s="3"/>
      <c r="L26" s="3"/>
      <c r="M26" s="3"/>
    </row>
    <row r="27" spans="2:13" x14ac:dyDescent="0.35">
      <c r="B27" s="3"/>
      <c r="C27" s="1"/>
      <c r="D27" s="2"/>
      <c r="E27" s="3"/>
      <c r="F27" s="3"/>
      <c r="G27" s="2"/>
      <c r="H27" s="2"/>
      <c r="I27" s="3"/>
      <c r="J27" s="3"/>
      <c r="K27" s="3"/>
      <c r="L27" s="3"/>
      <c r="M27" s="3"/>
    </row>
    <row r="28" spans="2:13" x14ac:dyDescent="0.35">
      <c r="B28" s="3"/>
      <c r="C28" s="1"/>
      <c r="D28" s="2"/>
      <c r="E28" s="3"/>
      <c r="F28" s="3"/>
      <c r="G28" s="2"/>
      <c r="H28" s="3"/>
      <c r="I28" s="3"/>
      <c r="J28" s="3"/>
      <c r="K28" s="3"/>
      <c r="L28" s="3"/>
      <c r="M28" s="3"/>
    </row>
    <row r="29" spans="2:13" x14ac:dyDescent="0.35">
      <c r="B29" s="3"/>
      <c r="C29" s="1"/>
      <c r="D29" s="2"/>
      <c r="E29" s="3"/>
      <c r="F29" s="3"/>
      <c r="G29" s="2"/>
      <c r="H29" s="2"/>
      <c r="I29" s="3"/>
      <c r="J29" s="3"/>
      <c r="K29" s="3"/>
      <c r="L29" s="3"/>
      <c r="M29" s="3"/>
    </row>
    <row r="30" spans="2:13" x14ac:dyDescent="0.35">
      <c r="B30" s="3"/>
      <c r="C30" s="1"/>
      <c r="D30" s="2"/>
      <c r="E30" s="3"/>
      <c r="F30" s="3"/>
      <c r="G30" s="2"/>
      <c r="H30" s="2"/>
      <c r="I30" s="3"/>
      <c r="J30" s="3"/>
      <c r="K30" s="3"/>
      <c r="L30" s="3"/>
      <c r="M30" s="3"/>
    </row>
    <row r="31" spans="2:13" x14ac:dyDescent="0.35">
      <c r="B31" s="3"/>
      <c r="C31" s="1"/>
      <c r="D31" s="2"/>
      <c r="E31" s="3"/>
      <c r="F31" s="3"/>
      <c r="G31" s="2"/>
      <c r="H31" s="2"/>
      <c r="I31" s="3"/>
      <c r="J31" s="3"/>
      <c r="K31" s="3"/>
      <c r="L31" s="3"/>
      <c r="M31" s="3"/>
    </row>
    <row r="32" spans="2:13" x14ac:dyDescent="0.35">
      <c r="B32" s="3"/>
      <c r="C32" s="1"/>
      <c r="D32" s="2"/>
      <c r="E32" s="3"/>
      <c r="F32" s="3"/>
      <c r="G32" s="2"/>
      <c r="H32" s="3"/>
      <c r="I32" s="3"/>
      <c r="J32" s="3"/>
      <c r="K32" s="3"/>
      <c r="L32" s="3"/>
      <c r="M32" s="3"/>
    </row>
    <row r="33" spans="2:13" x14ac:dyDescent="0.35">
      <c r="B33" s="3"/>
      <c r="C33" s="1"/>
      <c r="D33" s="2"/>
      <c r="E33" s="3"/>
      <c r="F33" s="3"/>
      <c r="G33" s="2"/>
      <c r="H33" s="2"/>
      <c r="I33" s="3"/>
      <c r="J33" s="3"/>
      <c r="K33" s="3"/>
      <c r="L33" s="3"/>
      <c r="M33" s="3"/>
    </row>
    <row r="34" spans="2:13" x14ac:dyDescent="0.35">
      <c r="B34" s="3"/>
      <c r="C34" s="1"/>
      <c r="D34" s="2"/>
      <c r="E34" s="3"/>
      <c r="F34" s="3"/>
      <c r="G34" s="2"/>
      <c r="H34" s="2"/>
      <c r="I34" s="3"/>
      <c r="J34" s="3"/>
      <c r="K34" s="3"/>
      <c r="L34" s="3"/>
      <c r="M34" s="3"/>
    </row>
    <row r="35" spans="2:13" x14ac:dyDescent="0.35">
      <c r="B35" s="3"/>
      <c r="C35" s="1"/>
      <c r="D35" s="2"/>
      <c r="E35" s="3"/>
      <c r="F35" s="3"/>
      <c r="G35" s="2"/>
      <c r="H35" s="2"/>
      <c r="I35" s="3"/>
      <c r="J35" s="3"/>
      <c r="K35" s="3"/>
      <c r="L35" s="3"/>
      <c r="M35" s="3"/>
    </row>
    <row r="36" spans="2:13" x14ac:dyDescent="0.35">
      <c r="B36" s="3"/>
      <c r="C36" s="1"/>
      <c r="D36" s="2"/>
      <c r="E36" s="3"/>
      <c r="F36" s="3"/>
      <c r="G36" s="3"/>
      <c r="H36" s="2"/>
      <c r="I36" s="3"/>
      <c r="J36" s="3"/>
      <c r="K36" s="3"/>
      <c r="L36" s="3"/>
      <c r="M36" s="3"/>
    </row>
    <row r="37" spans="2:13" x14ac:dyDescent="0.35">
      <c r="B37" s="3"/>
      <c r="C37" s="1"/>
      <c r="D37" s="3"/>
      <c r="E37" s="3"/>
      <c r="F37" s="3"/>
      <c r="G37" s="2"/>
      <c r="H37" s="3"/>
      <c r="I37" s="3"/>
      <c r="J37" s="3"/>
      <c r="K37" s="3"/>
      <c r="L37" s="3"/>
      <c r="M37" s="3"/>
    </row>
    <row r="38" spans="2:13" x14ac:dyDescent="0.35">
      <c r="B38" s="3"/>
      <c r="C38" s="1"/>
      <c r="D38" s="3"/>
      <c r="E38" s="3"/>
      <c r="F38" s="3"/>
      <c r="G38" s="2"/>
      <c r="H38" s="3"/>
      <c r="I38" s="3"/>
      <c r="J38" s="3"/>
      <c r="K38" s="3"/>
      <c r="L38" s="3"/>
      <c r="M38" s="3"/>
    </row>
    <row r="39" spans="2:13" x14ac:dyDescent="0.35">
      <c r="B39" s="3"/>
      <c r="C39" s="1"/>
      <c r="D39" s="2"/>
      <c r="E39" s="3"/>
      <c r="F39" s="3"/>
      <c r="G39" s="2"/>
      <c r="H39" s="2"/>
      <c r="I39" s="3"/>
      <c r="J39" s="3"/>
      <c r="K39" s="3"/>
      <c r="L39" s="3"/>
      <c r="M39" s="3"/>
    </row>
    <row r="40" spans="2:13" x14ac:dyDescent="0.35">
      <c r="B40" s="3"/>
      <c r="C40" s="1"/>
      <c r="D40" s="2"/>
      <c r="E40" s="3"/>
      <c r="F40" s="3"/>
      <c r="G40" s="2"/>
      <c r="H40" s="2"/>
      <c r="I40" s="3"/>
      <c r="J40" s="3"/>
      <c r="K40" s="3"/>
      <c r="L40" s="3"/>
      <c r="M40" s="3"/>
    </row>
    <row r="41" spans="2:13" x14ac:dyDescent="0.35">
      <c r="B41" s="3"/>
      <c r="C41" s="1"/>
      <c r="D41" s="2"/>
      <c r="E41" s="3"/>
      <c r="F41" s="3"/>
      <c r="G41" s="2"/>
      <c r="H41" s="2"/>
      <c r="I41" s="3"/>
      <c r="J41" s="3"/>
      <c r="K41" s="3"/>
      <c r="L41" s="3"/>
      <c r="M41" s="3"/>
    </row>
    <row r="42" spans="2:13" x14ac:dyDescent="0.35">
      <c r="B42" s="3"/>
      <c r="C42" s="1"/>
      <c r="D42" s="2"/>
      <c r="E42" s="3"/>
      <c r="F42" s="3"/>
      <c r="G42" s="2"/>
      <c r="H42" s="2"/>
      <c r="I42" s="3"/>
      <c r="J42" s="3"/>
      <c r="K42" s="3"/>
      <c r="L42" s="3"/>
      <c r="M42" s="3"/>
    </row>
    <row r="43" spans="2:13" x14ac:dyDescent="0.35">
      <c r="B43" s="3"/>
      <c r="C43" s="1"/>
      <c r="D43" s="2"/>
      <c r="E43" s="3"/>
      <c r="F43" s="3"/>
      <c r="G43" s="2"/>
      <c r="H43" s="2"/>
      <c r="I43" s="3"/>
      <c r="J43" s="3"/>
      <c r="K43" s="3"/>
      <c r="L43" s="3"/>
      <c r="M43" s="3"/>
    </row>
    <row r="44" spans="2:13" x14ac:dyDescent="0.35">
      <c r="B44" s="3"/>
      <c r="C44" s="1"/>
      <c r="D44" s="2"/>
      <c r="E44" s="3"/>
      <c r="F44" s="3"/>
      <c r="G44" s="2"/>
      <c r="H44" s="2"/>
      <c r="I44" s="3"/>
      <c r="J44" s="3"/>
      <c r="K44" s="3"/>
      <c r="L44" s="3"/>
      <c r="M44" s="3"/>
    </row>
    <row r="45" spans="2:13" x14ac:dyDescent="0.35">
      <c r="B45" s="3"/>
      <c r="C45" s="1"/>
      <c r="D45" s="2"/>
      <c r="E45" s="3"/>
      <c r="F45" s="3"/>
      <c r="G45" s="2"/>
      <c r="H45" s="2"/>
      <c r="I45" s="3"/>
      <c r="J45" s="3"/>
      <c r="K45" s="3"/>
      <c r="L45" s="3"/>
      <c r="M45" s="3"/>
    </row>
    <row r="46" spans="2:13" x14ac:dyDescent="0.35">
      <c r="B46" s="3"/>
      <c r="C46" s="1"/>
      <c r="D46" s="2"/>
      <c r="E46" s="3"/>
      <c r="F46" s="3"/>
      <c r="G46" s="2"/>
      <c r="H46" s="2"/>
      <c r="I46" s="3"/>
      <c r="J46" s="3"/>
      <c r="K46" s="3"/>
      <c r="L46" s="3"/>
      <c r="M46" s="3"/>
    </row>
    <row r="47" spans="2:13" x14ac:dyDescent="0.35">
      <c r="B47" s="3"/>
      <c r="C47" s="1"/>
      <c r="D47" s="2"/>
      <c r="E47" s="3"/>
      <c r="F47" s="3"/>
      <c r="G47" s="2"/>
      <c r="H47" s="2"/>
      <c r="I47" s="3"/>
      <c r="J47" s="3"/>
      <c r="K47" s="3"/>
      <c r="L47" s="3"/>
      <c r="M47" s="3"/>
    </row>
    <row r="48" spans="2:13" x14ac:dyDescent="0.35">
      <c r="B48" s="3"/>
      <c r="C48" s="1"/>
      <c r="D48" s="2"/>
      <c r="E48" s="3"/>
      <c r="F48" s="3"/>
      <c r="G48" s="2"/>
      <c r="H48" s="2"/>
      <c r="I48" s="3"/>
      <c r="J48" s="3"/>
      <c r="K48" s="3"/>
      <c r="L48" s="3"/>
      <c r="M48" s="3"/>
    </row>
    <row r="49" spans="2:13" x14ac:dyDescent="0.35">
      <c r="B49" s="3"/>
      <c r="C49" s="1"/>
      <c r="D49" s="2"/>
      <c r="E49" s="3"/>
      <c r="F49" s="3"/>
      <c r="G49" s="2"/>
      <c r="H49" s="2"/>
      <c r="I49" s="3"/>
      <c r="J49" s="3"/>
      <c r="K49" s="3"/>
      <c r="L49" s="3"/>
      <c r="M49" s="3"/>
    </row>
    <row r="50" spans="2:13" x14ac:dyDescent="0.35">
      <c r="B50" s="3"/>
      <c r="C50" s="1"/>
      <c r="D50" s="2"/>
      <c r="E50" s="3"/>
      <c r="F50" s="3"/>
      <c r="G50" s="2"/>
      <c r="H50" s="2"/>
      <c r="I50" s="3"/>
      <c r="J50" s="3"/>
      <c r="K50" s="3"/>
      <c r="L50" s="3"/>
      <c r="M50" s="3"/>
    </row>
    <row r="51" spans="2:13" x14ac:dyDescent="0.35">
      <c r="B51" s="3"/>
      <c r="C51" s="1"/>
      <c r="D51" s="2"/>
      <c r="E51" s="3"/>
      <c r="F51" s="3"/>
      <c r="G51" s="2"/>
      <c r="H51" s="2"/>
      <c r="I51" s="3"/>
      <c r="J51" s="3"/>
      <c r="K51" s="3"/>
      <c r="L51" s="3"/>
      <c r="M51" s="3"/>
    </row>
    <row r="52" spans="2:13" x14ac:dyDescent="0.35">
      <c r="B52" s="3"/>
      <c r="C52" s="1"/>
      <c r="D52" s="2"/>
      <c r="E52" s="3"/>
      <c r="F52" s="3"/>
      <c r="G52" s="2"/>
      <c r="H52" s="2"/>
      <c r="I52" s="3"/>
      <c r="J52" s="3"/>
      <c r="K52" s="3"/>
      <c r="L52" s="3"/>
      <c r="M52" s="3"/>
    </row>
    <row r="53" spans="2:13" x14ac:dyDescent="0.35">
      <c r="B53" s="3"/>
      <c r="C53" s="1"/>
      <c r="D53" s="2"/>
      <c r="E53" s="3"/>
      <c r="F53" s="3"/>
      <c r="G53" s="2"/>
      <c r="H53" s="2"/>
      <c r="I53" s="3"/>
      <c r="J53" s="3"/>
      <c r="K53" s="3"/>
      <c r="L53" s="3"/>
      <c r="M53" s="3"/>
    </row>
    <row r="54" spans="2:13" x14ac:dyDescent="0.35">
      <c r="B54" s="3"/>
      <c r="C54" s="1"/>
      <c r="D54" s="2"/>
      <c r="E54" s="3"/>
      <c r="F54" s="3"/>
      <c r="G54" s="2"/>
      <c r="H54" s="2"/>
      <c r="I54" s="3"/>
      <c r="J54" s="3"/>
      <c r="K54" s="3"/>
      <c r="L54" s="3"/>
      <c r="M54" s="3"/>
    </row>
    <row r="55" spans="2:13" x14ac:dyDescent="0.35">
      <c r="B55" s="3"/>
      <c r="C55" s="1"/>
      <c r="D55" s="2"/>
      <c r="E55" s="3"/>
      <c r="F55" s="3"/>
      <c r="G55" s="2"/>
      <c r="H55" s="2"/>
      <c r="I55" s="3"/>
      <c r="J55" s="3"/>
      <c r="K55" s="3"/>
      <c r="L55" s="3"/>
      <c r="M55" s="3"/>
    </row>
    <row r="56" spans="2:13" x14ac:dyDescent="0.35">
      <c r="B56" s="3"/>
      <c r="C56" s="1"/>
      <c r="D56" s="2"/>
      <c r="E56" s="3"/>
      <c r="F56" s="3"/>
      <c r="G56" s="2"/>
      <c r="H56" s="2"/>
      <c r="I56" s="3"/>
      <c r="J56" s="3"/>
      <c r="K56" s="3"/>
      <c r="L56" s="3"/>
      <c r="M56" s="3"/>
    </row>
    <row r="57" spans="2:13" x14ac:dyDescent="0.35">
      <c r="B57" s="3"/>
      <c r="C57" s="1"/>
      <c r="D57" s="2"/>
      <c r="E57" s="3"/>
      <c r="F57" s="3"/>
      <c r="G57" s="2"/>
      <c r="H57" s="2"/>
      <c r="I57" s="3"/>
      <c r="J57" s="3"/>
      <c r="K57" s="3"/>
      <c r="L57" s="3"/>
      <c r="M57" s="3"/>
    </row>
    <row r="58" spans="2:13" x14ac:dyDescent="0.35">
      <c r="B58" s="3"/>
      <c r="C58" s="1"/>
      <c r="D58" s="2"/>
      <c r="E58" s="3"/>
      <c r="F58" s="3"/>
      <c r="G58" s="2"/>
      <c r="H58" s="2"/>
      <c r="I58" s="3"/>
      <c r="J58" s="3"/>
      <c r="K58" s="3"/>
      <c r="L58" s="3"/>
      <c r="M58" s="3"/>
    </row>
    <row r="59" spans="2:13" x14ac:dyDescent="0.35">
      <c r="B59" s="3"/>
      <c r="C59" s="1"/>
      <c r="D59" s="2"/>
      <c r="E59" s="3"/>
      <c r="F59" s="3"/>
      <c r="G59" s="2"/>
      <c r="H59" s="2"/>
      <c r="I59" s="3"/>
      <c r="J59" s="3"/>
      <c r="K59" s="3"/>
      <c r="L59" s="3"/>
      <c r="M59" s="3"/>
    </row>
    <row r="60" spans="2:13" x14ac:dyDescent="0.35">
      <c r="B60" s="3"/>
      <c r="C60" s="1"/>
      <c r="D60" s="2"/>
      <c r="E60" s="3"/>
      <c r="F60" s="3"/>
      <c r="G60" s="2"/>
      <c r="H60" s="2"/>
      <c r="I60" s="3"/>
      <c r="J60" s="3"/>
      <c r="K60" s="3"/>
      <c r="L60" s="3"/>
      <c r="M60" s="3"/>
    </row>
    <row r="61" spans="2:13" x14ac:dyDescent="0.35">
      <c r="B61" s="3"/>
      <c r="C61" s="1"/>
      <c r="D61" s="2"/>
      <c r="E61" s="3"/>
      <c r="F61" s="3"/>
      <c r="G61" s="2"/>
      <c r="H61" s="2"/>
      <c r="I61" s="3"/>
      <c r="J61" s="3"/>
      <c r="K61" s="3"/>
      <c r="L61" s="3"/>
      <c r="M61" s="3"/>
    </row>
    <row r="62" spans="2:13" x14ac:dyDescent="0.35">
      <c r="B62" s="3"/>
      <c r="C62" s="1"/>
      <c r="D62" s="2"/>
      <c r="E62" s="3"/>
      <c r="F62" s="3"/>
      <c r="G62" s="2"/>
      <c r="H62" s="2"/>
      <c r="I62" s="3"/>
      <c r="J62" s="3"/>
      <c r="K62" s="3"/>
      <c r="L62" s="3"/>
      <c r="M62" s="3"/>
    </row>
    <row r="63" spans="2:13" x14ac:dyDescent="0.35">
      <c r="B63" s="3"/>
      <c r="C63" s="1"/>
      <c r="D63" s="2"/>
      <c r="E63" s="3"/>
      <c r="F63" s="3"/>
      <c r="G63" s="2"/>
      <c r="H63" s="2"/>
      <c r="I63" s="3"/>
      <c r="J63" s="3"/>
      <c r="K63" s="3"/>
      <c r="L63" s="3"/>
      <c r="M63" s="3"/>
    </row>
    <row r="64" spans="2:13" x14ac:dyDescent="0.35">
      <c r="B64" s="3"/>
      <c r="C64" s="1"/>
      <c r="D64" s="2"/>
      <c r="E64" s="3"/>
      <c r="F64" s="3"/>
      <c r="G64" s="2"/>
      <c r="H64" s="2"/>
      <c r="I64" s="3"/>
      <c r="J64" s="3"/>
      <c r="K64" s="3"/>
      <c r="L64" s="3"/>
      <c r="M64" s="3"/>
    </row>
    <row r="65" spans="2:13" x14ac:dyDescent="0.35">
      <c r="B65" s="3"/>
      <c r="C65" s="1"/>
      <c r="D65" s="2"/>
      <c r="E65" s="3"/>
      <c r="F65" s="3"/>
      <c r="G65" s="2"/>
      <c r="H65" s="2"/>
      <c r="I65" s="3"/>
      <c r="J65" s="3"/>
      <c r="K65" s="3"/>
      <c r="L65" s="3"/>
      <c r="M65" s="3"/>
    </row>
    <row r="66" spans="2:13" x14ac:dyDescent="0.35">
      <c r="B66" s="3"/>
      <c r="C66" s="1"/>
      <c r="D66" s="2"/>
      <c r="E66" s="3"/>
      <c r="F66" s="3"/>
      <c r="G66" s="2"/>
      <c r="H66" s="2"/>
      <c r="I66" s="3"/>
      <c r="J66" s="3"/>
      <c r="K66" s="3"/>
      <c r="L66" s="3"/>
      <c r="M66" s="3"/>
    </row>
    <row r="67" spans="2:13" x14ac:dyDescent="0.35">
      <c r="B67" s="3"/>
      <c r="C67" s="1"/>
      <c r="D67" s="2"/>
      <c r="E67" s="3"/>
      <c r="F67" s="3"/>
      <c r="G67" s="2"/>
      <c r="H67" s="2"/>
      <c r="I67" s="3"/>
      <c r="J67" s="3"/>
      <c r="K67" s="3"/>
      <c r="L67" s="3"/>
      <c r="M67" s="3"/>
    </row>
    <row r="68" spans="2:13" x14ac:dyDescent="0.35">
      <c r="B68" s="3"/>
      <c r="C68" s="1"/>
      <c r="D68" s="2"/>
      <c r="E68" s="3"/>
      <c r="F68" s="3"/>
      <c r="G68" s="2"/>
      <c r="H68" s="2"/>
      <c r="I68" s="3"/>
      <c r="J68" s="3"/>
      <c r="K68" s="3"/>
      <c r="L68" s="3"/>
      <c r="M68" s="3"/>
    </row>
    <row r="69" spans="2:13" x14ac:dyDescent="0.35">
      <c r="B69" s="3"/>
      <c r="C69" s="1"/>
      <c r="D69" s="2"/>
      <c r="E69" s="3"/>
      <c r="F69" s="3"/>
      <c r="G69" s="2"/>
      <c r="H69" s="2"/>
      <c r="I69" s="3"/>
      <c r="J69" s="3"/>
      <c r="K69" s="3"/>
      <c r="L69" s="3"/>
      <c r="M69" s="3"/>
    </row>
    <row r="70" spans="2:13" x14ac:dyDescent="0.35">
      <c r="B70" s="3"/>
      <c r="C70" s="1"/>
      <c r="D70" s="2"/>
      <c r="E70" s="3"/>
      <c r="F70" s="3"/>
      <c r="G70" s="2"/>
      <c r="H70" s="2"/>
      <c r="I70" s="3"/>
      <c r="J70" s="3"/>
      <c r="K70" s="3"/>
      <c r="L70" s="3"/>
      <c r="M70" s="3"/>
    </row>
    <row r="71" spans="2:13" x14ac:dyDescent="0.35">
      <c r="B71" s="3"/>
      <c r="C71" s="1"/>
      <c r="D71" s="2"/>
      <c r="E71" s="3"/>
      <c r="F71" s="3"/>
      <c r="G71" s="2"/>
      <c r="H71" s="2"/>
      <c r="I71" s="3"/>
      <c r="J71" s="3"/>
      <c r="K71" s="3"/>
      <c r="L71" s="3"/>
      <c r="M71" s="3"/>
    </row>
    <row r="72" spans="2:13" x14ac:dyDescent="0.35">
      <c r="B72" s="3"/>
      <c r="C72" s="1"/>
      <c r="D72" s="2"/>
      <c r="E72" s="3"/>
      <c r="F72" s="3"/>
      <c r="G72" s="2"/>
      <c r="H72" s="2"/>
      <c r="I72" s="3"/>
      <c r="J72" s="3"/>
      <c r="K72" s="3"/>
      <c r="L72" s="3"/>
      <c r="M72" s="3"/>
    </row>
    <row r="73" spans="2:13" x14ac:dyDescent="0.35">
      <c r="B73" s="3"/>
      <c r="C73" s="1"/>
      <c r="D73" s="2"/>
      <c r="E73" s="3"/>
      <c r="F73" s="3"/>
      <c r="G73" s="2"/>
      <c r="H73" s="2"/>
      <c r="I73" s="3"/>
      <c r="J73" s="3"/>
      <c r="K73" s="3"/>
      <c r="L73" s="3"/>
      <c r="M73" s="3"/>
    </row>
    <row r="74" spans="2:13" x14ac:dyDescent="0.35">
      <c r="B74" s="3"/>
      <c r="C74" s="1"/>
      <c r="D74" s="2"/>
      <c r="E74" s="3"/>
      <c r="F74" s="3"/>
      <c r="G74" s="2"/>
      <c r="H74" s="2"/>
      <c r="I74" s="3"/>
      <c r="J74" s="3"/>
      <c r="K74" s="3"/>
      <c r="L74" s="3"/>
      <c r="M74" s="3"/>
    </row>
    <row r="75" spans="2:13" x14ac:dyDescent="0.35">
      <c r="B75" s="3"/>
      <c r="C75" s="1"/>
      <c r="D75" s="2"/>
      <c r="E75" s="3"/>
      <c r="F75" s="3"/>
      <c r="G75" s="2"/>
      <c r="H75" s="2"/>
      <c r="I75" s="3"/>
      <c r="J75" s="3"/>
      <c r="K75" s="3"/>
      <c r="L75" s="3"/>
      <c r="M75" s="3"/>
    </row>
    <row r="76" spans="2:13" x14ac:dyDescent="0.35">
      <c r="B76" s="3"/>
      <c r="C76" s="1"/>
      <c r="D76" s="2"/>
      <c r="E76" s="3"/>
      <c r="F76" s="3"/>
      <c r="G76" s="2"/>
      <c r="H76" s="2"/>
      <c r="I76" s="3"/>
      <c r="J76" s="3"/>
      <c r="K76" s="3"/>
      <c r="L76" s="3"/>
      <c r="M76" s="3"/>
    </row>
    <row r="77" spans="2:13" x14ac:dyDescent="0.35">
      <c r="B77" s="3"/>
      <c r="C77" s="1"/>
      <c r="D77" s="2"/>
      <c r="E77" s="3"/>
      <c r="F77" s="3"/>
      <c r="G77" s="2"/>
      <c r="H77" s="2"/>
      <c r="I77" s="3"/>
      <c r="J77" s="3"/>
      <c r="K77" s="3"/>
      <c r="L77" s="3"/>
      <c r="M77" s="3"/>
    </row>
    <row r="78" spans="2:13" x14ac:dyDescent="0.35">
      <c r="B78" s="3"/>
      <c r="C78" s="1"/>
      <c r="D78" s="2"/>
      <c r="E78" s="3"/>
      <c r="F78" s="3"/>
      <c r="G78" s="2"/>
      <c r="H78" s="2"/>
      <c r="I78" s="3"/>
      <c r="J78" s="3"/>
      <c r="K78" s="3"/>
      <c r="L78" s="3"/>
      <c r="M78" s="3"/>
    </row>
    <row r="79" spans="2:13" x14ac:dyDescent="0.35">
      <c r="B79" s="3"/>
      <c r="C79" s="1"/>
      <c r="D79" s="2"/>
      <c r="E79" s="3"/>
      <c r="F79" s="3"/>
      <c r="G79" s="2"/>
      <c r="H79" s="2"/>
      <c r="I79" s="3"/>
      <c r="J79" s="3"/>
      <c r="K79" s="3"/>
      <c r="L79" s="3"/>
      <c r="M79" s="3"/>
    </row>
    <row r="80" spans="2:13" x14ac:dyDescent="0.35">
      <c r="B80" s="3"/>
      <c r="C80" s="1"/>
      <c r="D80" s="2"/>
      <c r="E80" s="3"/>
      <c r="F80" s="3"/>
      <c r="G80" s="2"/>
      <c r="H80" s="2"/>
      <c r="I80" s="3"/>
      <c r="J80" s="3"/>
      <c r="K80" s="3"/>
      <c r="L80" s="3"/>
      <c r="M80" s="3"/>
    </row>
    <row r="81" spans="2:13" x14ac:dyDescent="0.35">
      <c r="B81" s="3"/>
      <c r="C81" s="1"/>
      <c r="D81" s="2"/>
      <c r="E81" s="3"/>
      <c r="F81" s="3"/>
      <c r="G81" s="2"/>
      <c r="H81" s="2"/>
      <c r="I81" s="3"/>
      <c r="J81" s="3"/>
      <c r="K81" s="3"/>
      <c r="L81" s="3"/>
      <c r="M81" s="3"/>
    </row>
    <row r="82" spans="2:13" x14ac:dyDescent="0.35">
      <c r="B82" s="3"/>
      <c r="C82" s="1"/>
      <c r="D82" s="2"/>
      <c r="E82" s="3"/>
      <c r="F82" s="3"/>
      <c r="G82" s="2"/>
      <c r="H82" s="2"/>
      <c r="I82" s="3"/>
      <c r="J82" s="3"/>
      <c r="K82" s="3"/>
      <c r="L82" s="3"/>
      <c r="M82" s="3"/>
    </row>
    <row r="83" spans="2:13" x14ac:dyDescent="0.35">
      <c r="B83" s="3"/>
      <c r="C83" s="1"/>
      <c r="D83" s="2"/>
      <c r="E83" s="3"/>
      <c r="F83" s="3"/>
      <c r="G83" s="2"/>
      <c r="H83" s="2"/>
      <c r="I83" s="3"/>
      <c r="J83" s="3"/>
      <c r="K83" s="3"/>
      <c r="L83" s="3"/>
      <c r="M83" s="3"/>
    </row>
    <row r="84" spans="2:13" x14ac:dyDescent="0.35">
      <c r="B84" s="3"/>
      <c r="C84" s="1"/>
      <c r="D84" s="2"/>
      <c r="E84" s="3"/>
      <c r="F84" s="3"/>
      <c r="G84" s="2"/>
      <c r="H84" s="2"/>
      <c r="I84" s="3"/>
      <c r="J84" s="3"/>
      <c r="K84" s="3"/>
      <c r="L84" s="3"/>
      <c r="M84" s="3"/>
    </row>
    <row r="85" spans="2:13" x14ac:dyDescent="0.35">
      <c r="B85" s="3"/>
      <c r="C85" s="1"/>
      <c r="D85" s="2"/>
      <c r="E85" s="3"/>
      <c r="F85" s="3"/>
      <c r="G85" s="2"/>
      <c r="H85" s="2"/>
      <c r="I85" s="3"/>
      <c r="J85" s="3"/>
      <c r="K85" s="3"/>
      <c r="L85" s="3"/>
      <c r="M85" s="3"/>
    </row>
    <row r="86" spans="2:13" x14ac:dyDescent="0.35">
      <c r="B86" s="3"/>
      <c r="C86" s="1"/>
      <c r="D86" s="2"/>
      <c r="E86" s="3"/>
      <c r="F86" s="3"/>
      <c r="G86" s="2"/>
      <c r="H86" s="2"/>
      <c r="I86" s="3"/>
      <c r="J86" s="3"/>
      <c r="K86" s="3"/>
      <c r="L86" s="3"/>
      <c r="M86" s="3"/>
    </row>
    <row r="87" spans="2:13" x14ac:dyDescent="0.35">
      <c r="B87" s="3"/>
      <c r="C87" s="1"/>
      <c r="D87" s="2"/>
      <c r="E87" s="3"/>
      <c r="F87" s="3"/>
      <c r="G87" s="2"/>
      <c r="H87" s="2"/>
      <c r="I87" s="3"/>
      <c r="J87" s="3"/>
      <c r="K87" s="3"/>
      <c r="L87" s="3"/>
      <c r="M87" s="3"/>
    </row>
    <row r="88" spans="2:13" x14ac:dyDescent="0.35">
      <c r="B88" s="3"/>
      <c r="C88" s="1"/>
      <c r="D88" s="2"/>
      <c r="E88" s="3"/>
      <c r="F88" s="3"/>
      <c r="G88" s="2"/>
      <c r="H88" s="2"/>
      <c r="I88" s="3"/>
      <c r="J88" s="3"/>
      <c r="K88" s="3"/>
      <c r="L88" s="3"/>
      <c r="M88" s="3"/>
    </row>
    <row r="89" spans="2:13" x14ac:dyDescent="0.35">
      <c r="B89" s="3"/>
      <c r="C89" s="1"/>
      <c r="D89" s="2"/>
      <c r="E89" s="3"/>
      <c r="F89" s="3"/>
      <c r="G89" s="2"/>
      <c r="H89" s="2"/>
      <c r="I89" s="3"/>
      <c r="J89" s="3"/>
      <c r="K89" s="3"/>
      <c r="L89" s="3"/>
      <c r="M89" s="3"/>
    </row>
    <row r="90" spans="2:13" x14ac:dyDescent="0.35">
      <c r="B90" s="3"/>
      <c r="C90" s="1"/>
      <c r="D90" s="2"/>
      <c r="E90" s="3"/>
      <c r="F90" s="3"/>
      <c r="G90" s="2"/>
      <c r="H90" s="2"/>
      <c r="I90" s="3"/>
      <c r="J90" s="3"/>
      <c r="K90" s="3"/>
      <c r="L90" s="3"/>
      <c r="M90" s="3"/>
    </row>
    <row r="91" spans="2:13" x14ac:dyDescent="0.35">
      <c r="B91" s="3"/>
      <c r="C91" s="1"/>
      <c r="D91" s="3"/>
      <c r="E91" s="3"/>
      <c r="F91" s="3"/>
      <c r="G91" s="2"/>
      <c r="H91" s="2"/>
      <c r="I91" s="3"/>
      <c r="J91" s="3"/>
      <c r="K91" s="3"/>
      <c r="L91" s="3"/>
      <c r="M91" s="3"/>
    </row>
    <row r="92" spans="2:13" x14ac:dyDescent="0.35">
      <c r="B92" s="3"/>
      <c r="C92" s="1"/>
      <c r="D92" s="3"/>
      <c r="E92" s="3"/>
      <c r="F92" s="3"/>
      <c r="G92" s="2"/>
      <c r="H92" s="3"/>
      <c r="I92" s="3"/>
      <c r="J92" s="3"/>
      <c r="K92" s="3"/>
      <c r="L92" s="3"/>
      <c r="M92" s="3"/>
    </row>
    <row r="93" spans="2:13" x14ac:dyDescent="0.35">
      <c r="B93" s="3"/>
      <c r="C93" s="1"/>
      <c r="D93" s="3"/>
      <c r="E93" s="3"/>
      <c r="F93" s="3"/>
      <c r="G93" s="2"/>
      <c r="H93" s="3"/>
      <c r="I93" s="3"/>
      <c r="J93" s="3"/>
      <c r="K93" s="3"/>
      <c r="L93" s="3"/>
      <c r="M93" s="3"/>
    </row>
    <row r="94" spans="2:13" x14ac:dyDescent="0.35">
      <c r="B94" s="3"/>
      <c r="C94" s="1"/>
      <c r="D94" s="2"/>
      <c r="E94" s="3"/>
      <c r="F94" s="3"/>
      <c r="G94" s="3"/>
      <c r="H94" s="3"/>
      <c r="I94" s="3"/>
      <c r="J94" s="3"/>
      <c r="K94" s="3"/>
      <c r="L94" s="3"/>
      <c r="M94" s="3"/>
    </row>
    <row r="95" spans="2:13" x14ac:dyDescent="0.35">
      <c r="B95" s="3"/>
      <c r="C95" s="1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2:13" x14ac:dyDescent="0.35">
      <c r="B96" s="3"/>
      <c r="C96" s="1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2:13" x14ac:dyDescent="0.35">
      <c r="B97" s="3"/>
      <c r="C97" s="1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2:13" x14ac:dyDescent="0.35">
      <c r="B98" s="3"/>
      <c r="C98" s="1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2:13" x14ac:dyDescent="0.35">
      <c r="B99" s="3"/>
      <c r="C99" s="1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2:13" x14ac:dyDescent="0.35">
      <c r="B100" s="3"/>
      <c r="C100" s="1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2:13" x14ac:dyDescent="0.35">
      <c r="B101" s="3"/>
      <c r="C101" s="1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2:13" x14ac:dyDescent="0.35">
      <c r="B102" s="3"/>
      <c r="C102" s="1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2:13" x14ac:dyDescent="0.35">
      <c r="B103" s="3"/>
      <c r="C103" s="1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2:13" x14ac:dyDescent="0.35">
      <c r="B104" s="3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2:13" x14ac:dyDescent="0.35">
      <c r="B105" s="3"/>
      <c r="C105" s="1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2:13" x14ac:dyDescent="0.35">
      <c r="B106" s="3"/>
      <c r="C106" s="1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2:13" x14ac:dyDescent="0.35">
      <c r="B107" s="3"/>
      <c r="C107" s="1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2:13" x14ac:dyDescent="0.35">
      <c r="B108" s="3"/>
      <c r="C108" s="1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2:13" x14ac:dyDescent="0.35">
      <c r="B109" s="3"/>
      <c r="C109" s="1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2:13" x14ac:dyDescent="0.35">
      <c r="B110" s="3"/>
      <c r="C110" s="1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2:13" x14ac:dyDescent="0.35">
      <c r="B111" s="3"/>
      <c r="C111" s="1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2:13" x14ac:dyDescent="0.35">
      <c r="B112" s="3"/>
      <c r="C112" s="1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2:13" x14ac:dyDescent="0.35">
      <c r="B113" s="3"/>
      <c r="C113" s="1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2:13" x14ac:dyDescent="0.35">
      <c r="B114" s="3"/>
      <c r="C114" s="1"/>
      <c r="D114" s="2"/>
      <c r="E114" s="3"/>
      <c r="F114" s="3"/>
      <c r="G114" s="2"/>
      <c r="H114" s="2"/>
      <c r="I114" s="3"/>
      <c r="J114" s="3"/>
      <c r="K114" s="3"/>
      <c r="L114" s="3"/>
      <c r="M114" s="3"/>
    </row>
    <row r="115" spans="2:13" x14ac:dyDescent="0.35">
      <c r="B115" s="3"/>
      <c r="C115" s="1"/>
      <c r="D115" s="2"/>
      <c r="E115" s="3"/>
      <c r="F115" s="3"/>
      <c r="G115" s="2"/>
      <c r="H115" s="2"/>
      <c r="I115" s="3"/>
      <c r="J115" s="3"/>
      <c r="K115" s="3"/>
      <c r="L115" s="3"/>
      <c r="M115" s="3"/>
    </row>
    <row r="116" spans="2:13" x14ac:dyDescent="0.35">
      <c r="B116" s="3"/>
      <c r="C116" s="1"/>
      <c r="D116" s="2"/>
      <c r="E116" s="3"/>
      <c r="F116" s="3"/>
      <c r="G116" s="2"/>
      <c r="H116" s="2"/>
      <c r="I116" s="3"/>
      <c r="J116" s="3"/>
      <c r="K116" s="3"/>
      <c r="L116" s="3"/>
      <c r="M116" s="3"/>
    </row>
    <row r="117" spans="2:13" x14ac:dyDescent="0.35">
      <c r="B117" s="3"/>
      <c r="C117" s="1"/>
      <c r="D117" s="2"/>
      <c r="E117" s="3"/>
      <c r="F117" s="3"/>
      <c r="G117" s="2"/>
      <c r="H117" s="2"/>
      <c r="I117" s="3"/>
      <c r="J117" s="3"/>
      <c r="K117" s="3"/>
      <c r="L117" s="3"/>
      <c r="M117" s="3"/>
    </row>
    <row r="118" spans="2:13" x14ac:dyDescent="0.35">
      <c r="B118" s="3"/>
      <c r="C118" s="1"/>
      <c r="D118" s="2"/>
      <c r="E118" s="3"/>
      <c r="F118" s="3"/>
      <c r="G118" s="2"/>
      <c r="H118" s="2"/>
      <c r="I118" s="3"/>
      <c r="J118" s="3"/>
      <c r="K118" s="3"/>
      <c r="L118" s="3"/>
      <c r="M118" s="3"/>
    </row>
    <row r="119" spans="2:13" x14ac:dyDescent="0.35">
      <c r="B119" s="3"/>
      <c r="C119" s="1"/>
      <c r="D119" s="2"/>
      <c r="E119" s="3"/>
      <c r="F119" s="3"/>
      <c r="G119" s="2"/>
      <c r="H119" s="2"/>
      <c r="I119" s="3"/>
      <c r="J119" s="3"/>
      <c r="K119" s="3"/>
      <c r="L119" s="3"/>
      <c r="M119" s="3"/>
    </row>
    <row r="120" spans="2:13" x14ac:dyDescent="0.35">
      <c r="B120" s="3"/>
      <c r="C120" s="1"/>
      <c r="D120" s="2"/>
      <c r="E120" s="3"/>
      <c r="F120" s="3"/>
      <c r="G120" s="3"/>
      <c r="H120" s="2"/>
      <c r="I120" s="3"/>
      <c r="J120" s="3"/>
      <c r="K120" s="3"/>
      <c r="L120" s="3"/>
      <c r="M120" s="3"/>
    </row>
    <row r="121" spans="2:13" x14ac:dyDescent="0.35">
      <c r="B121" s="3"/>
      <c r="C121" s="1"/>
      <c r="D121" s="2"/>
      <c r="E121" s="3"/>
      <c r="F121" s="3"/>
      <c r="G121" s="3"/>
      <c r="H121" s="2"/>
      <c r="I121" s="3"/>
      <c r="J121" s="3"/>
      <c r="K121" s="3"/>
      <c r="L121" s="3"/>
      <c r="M121" s="3"/>
    </row>
    <row r="122" spans="2:13" x14ac:dyDescent="0.35">
      <c r="B122" s="3"/>
      <c r="C122" s="1"/>
      <c r="D122" s="3"/>
      <c r="E122" s="3"/>
      <c r="F122" s="3"/>
      <c r="G122" s="3"/>
      <c r="H122" s="2"/>
      <c r="I122" s="3"/>
      <c r="J122" s="3"/>
      <c r="K122" s="3"/>
      <c r="L122" s="3"/>
      <c r="M122" s="3"/>
    </row>
    <row r="123" spans="2:13" x14ac:dyDescent="0.35">
      <c r="B123" s="3"/>
      <c r="C123" s="1"/>
      <c r="D123" s="3"/>
      <c r="E123" s="3"/>
      <c r="F123" s="3"/>
      <c r="G123" s="3"/>
      <c r="H123" s="2"/>
      <c r="I123" s="3"/>
      <c r="J123" s="3"/>
      <c r="K123" s="3"/>
      <c r="L123" s="3"/>
      <c r="M123" s="3"/>
    </row>
    <row r="124" spans="2:13" x14ac:dyDescent="0.35">
      <c r="B124" s="3"/>
      <c r="C124" s="1"/>
      <c r="D124" s="3"/>
      <c r="E124" s="3"/>
      <c r="F124" s="3"/>
      <c r="G124" s="3"/>
      <c r="H124" s="2"/>
      <c r="I124" s="3"/>
      <c r="J124" s="3"/>
      <c r="K124" s="3"/>
      <c r="L124" s="3"/>
      <c r="M124" s="3"/>
    </row>
    <row r="125" spans="2:13" x14ac:dyDescent="0.35">
      <c r="B125" s="4"/>
      <c r="C125" s="1"/>
      <c r="D125" s="3"/>
      <c r="E125" s="4"/>
      <c r="F125" s="4"/>
      <c r="G125" s="3"/>
      <c r="H125" s="3"/>
      <c r="I125" s="3"/>
      <c r="J125" s="3"/>
      <c r="K125" s="3"/>
      <c r="L125" s="3"/>
      <c r="M125" s="3"/>
    </row>
    <row r="126" spans="2:13" x14ac:dyDescent="0.35">
      <c r="B126" s="4"/>
      <c r="C126" s="1"/>
      <c r="D126" s="3"/>
      <c r="E126" s="4"/>
      <c r="F126" s="3"/>
      <c r="G126" s="3"/>
      <c r="H126" s="3"/>
      <c r="I126" s="3"/>
      <c r="J126" s="3"/>
      <c r="K126" s="3"/>
      <c r="L126" s="3"/>
      <c r="M126" s="3"/>
    </row>
    <row r="127" spans="2:13" x14ac:dyDescent="0.35">
      <c r="B127" s="4"/>
      <c r="C127" s="1"/>
      <c r="D127" s="3"/>
      <c r="E127" s="4"/>
      <c r="F127" s="4"/>
      <c r="G127" s="3"/>
      <c r="H127" s="3"/>
      <c r="I127" s="3"/>
      <c r="J127" s="3"/>
      <c r="K127" s="3"/>
      <c r="L127" s="3"/>
      <c r="M127" s="3"/>
    </row>
    <row r="128" spans="2:13" x14ac:dyDescent="0.35">
      <c r="B128" s="4"/>
      <c r="C128" s="1"/>
      <c r="D128" s="3"/>
      <c r="E128" s="4"/>
      <c r="F128" s="3"/>
      <c r="G128" s="3"/>
      <c r="H128" s="3"/>
      <c r="I128" s="3"/>
      <c r="J128" s="3"/>
      <c r="K128" s="3"/>
      <c r="L128" s="3"/>
      <c r="M128" s="3"/>
    </row>
    <row r="129" spans="2:13" x14ac:dyDescent="0.35">
      <c r="B129" s="4"/>
      <c r="C129" s="1"/>
      <c r="D129" s="3"/>
      <c r="E129" s="4"/>
      <c r="F129" s="3"/>
      <c r="G129" s="4"/>
      <c r="H129" s="4"/>
      <c r="I129" s="3"/>
      <c r="J129" s="3"/>
      <c r="K129" s="3"/>
      <c r="L129" s="3"/>
      <c r="M129" s="3"/>
    </row>
    <row r="130" spans="2:13" x14ac:dyDescent="0.35">
      <c r="B130" s="4"/>
      <c r="C130" s="1"/>
      <c r="D130" s="3"/>
      <c r="E130" s="4"/>
      <c r="F130" s="4"/>
      <c r="G130" s="4"/>
      <c r="H130" s="4"/>
      <c r="I130" s="3"/>
      <c r="J130" s="3"/>
      <c r="K130" s="3"/>
      <c r="L130" s="3"/>
      <c r="M130" s="3"/>
    </row>
    <row r="131" spans="2:13" x14ac:dyDescent="0.35">
      <c r="B131" s="4"/>
      <c r="C131" s="1"/>
      <c r="D131" s="3"/>
      <c r="E131" s="4"/>
      <c r="F131" s="4"/>
      <c r="G131" s="4"/>
      <c r="H131" s="3"/>
      <c r="I131" s="3"/>
      <c r="J131" s="3"/>
      <c r="K131" s="3"/>
      <c r="L131" s="3"/>
      <c r="M131" s="3"/>
    </row>
    <row r="132" spans="2:13" x14ac:dyDescent="0.35">
      <c r="B132" s="4"/>
      <c r="C132" s="1"/>
      <c r="D132" s="3"/>
      <c r="E132" s="4"/>
      <c r="F132" s="3"/>
      <c r="G132" s="4"/>
      <c r="H132" s="4"/>
      <c r="I132" s="3"/>
      <c r="J132" s="3"/>
      <c r="K132" s="3"/>
      <c r="L132" s="3"/>
      <c r="M132" s="3"/>
    </row>
    <row r="133" spans="2:13" x14ac:dyDescent="0.35">
      <c r="B133" s="4"/>
      <c r="C133" s="1"/>
      <c r="D133" s="3"/>
      <c r="E133" s="4"/>
      <c r="F133" s="3"/>
      <c r="G133" s="4"/>
      <c r="H133" s="4"/>
      <c r="I133" s="3"/>
      <c r="J133" s="3"/>
      <c r="K133" s="3"/>
      <c r="L133" s="3"/>
      <c r="M133" s="3"/>
    </row>
    <row r="134" spans="2:13" x14ac:dyDescent="0.35">
      <c r="B134" s="4"/>
      <c r="C134" s="1"/>
      <c r="D134" s="3"/>
      <c r="E134" s="4"/>
      <c r="F134" s="4"/>
      <c r="G134" s="4"/>
      <c r="H134" s="3"/>
      <c r="I134" s="3"/>
      <c r="J134" s="3"/>
      <c r="K134" s="3"/>
      <c r="L134" s="3"/>
      <c r="M134" s="3"/>
    </row>
    <row r="135" spans="2:13" x14ac:dyDescent="0.35">
      <c r="B135" s="4"/>
      <c r="C135" s="1"/>
      <c r="D135" s="3"/>
      <c r="E135" s="4"/>
      <c r="F135" s="4"/>
      <c r="G135" s="4"/>
      <c r="H135" s="3"/>
      <c r="I135" s="3"/>
      <c r="J135" s="3"/>
      <c r="K135" s="3"/>
      <c r="L135" s="3"/>
      <c r="M135" s="3"/>
    </row>
    <row r="136" spans="2:13" x14ac:dyDescent="0.35">
      <c r="B136" s="4"/>
      <c r="C136" s="1"/>
      <c r="D136" s="3"/>
      <c r="E136" s="4"/>
      <c r="F136" s="4"/>
      <c r="G136" s="4"/>
      <c r="H136" s="3"/>
      <c r="I136" s="3"/>
      <c r="J136" s="3"/>
      <c r="K136" s="3"/>
      <c r="L136" s="3"/>
      <c r="M136" s="3"/>
    </row>
    <row r="137" spans="2:13" x14ac:dyDescent="0.35">
      <c r="B137" s="4"/>
      <c r="C137" s="1"/>
      <c r="D137" s="3"/>
      <c r="E137" s="4"/>
      <c r="F137" s="4"/>
      <c r="G137" s="4"/>
      <c r="H137" s="3"/>
      <c r="I137" s="3"/>
      <c r="J137" s="3"/>
      <c r="K137" s="3"/>
      <c r="L137" s="3"/>
      <c r="M137" s="3"/>
    </row>
    <row r="138" spans="2:13" x14ac:dyDescent="0.35">
      <c r="B138" s="4"/>
      <c r="C138" s="1"/>
      <c r="D138" s="3"/>
      <c r="E138" s="4"/>
      <c r="F138" s="4"/>
      <c r="G138" s="4"/>
      <c r="H138" s="3"/>
      <c r="I138" s="3"/>
      <c r="J138" s="3"/>
      <c r="K138" s="3"/>
      <c r="L138" s="3"/>
      <c r="M138" s="3"/>
    </row>
    <row r="139" spans="2:13" x14ac:dyDescent="0.35">
      <c r="B139" s="4"/>
      <c r="C139" s="1"/>
      <c r="D139" s="3"/>
      <c r="E139" s="4"/>
      <c r="F139" s="4"/>
      <c r="G139" s="4"/>
      <c r="H139" s="3"/>
      <c r="I139" s="3"/>
      <c r="J139" s="3"/>
      <c r="K139" s="3"/>
      <c r="L139" s="3"/>
      <c r="M139" s="3"/>
    </row>
    <row r="140" spans="2:13" x14ac:dyDescent="0.35">
      <c r="B140" s="4"/>
      <c r="C140" s="1"/>
      <c r="D140" s="3"/>
      <c r="E140" s="4"/>
      <c r="F140" s="4"/>
      <c r="G140" s="4"/>
      <c r="H140" s="3"/>
      <c r="I140" s="3"/>
      <c r="J140" s="3"/>
      <c r="K140" s="3"/>
      <c r="L140" s="3"/>
      <c r="M140" s="3"/>
    </row>
    <row r="141" spans="2:13" x14ac:dyDescent="0.35">
      <c r="B141" s="4"/>
      <c r="C141" s="1"/>
      <c r="D141" s="3"/>
      <c r="E141" s="4"/>
      <c r="F141" s="4"/>
      <c r="G141" s="4"/>
      <c r="H141" s="3"/>
      <c r="I141" s="3"/>
      <c r="J141" s="3"/>
      <c r="K141" s="3"/>
      <c r="L141" s="3"/>
      <c r="M141" s="3"/>
    </row>
    <row r="142" spans="2:13" x14ac:dyDescent="0.35">
      <c r="B142" s="4"/>
      <c r="C142" s="1"/>
      <c r="D142" s="3"/>
      <c r="E142" s="4"/>
      <c r="F142" s="4"/>
      <c r="G142" s="4"/>
      <c r="H142" s="3"/>
      <c r="I142" s="3"/>
      <c r="J142" s="3"/>
      <c r="K142" s="3"/>
      <c r="L142" s="3"/>
      <c r="M142" s="3"/>
    </row>
    <row r="143" spans="2:13" x14ac:dyDescent="0.35">
      <c r="B143" s="4"/>
      <c r="C143" s="1"/>
      <c r="D143" s="3"/>
      <c r="E143" s="4"/>
      <c r="F143" s="4"/>
      <c r="G143" s="4"/>
      <c r="H143" s="3"/>
      <c r="I143" s="3"/>
      <c r="J143" s="3"/>
      <c r="K143" s="3"/>
      <c r="L143" s="3"/>
      <c r="M143" s="3"/>
    </row>
    <row r="144" spans="2:13" x14ac:dyDescent="0.35">
      <c r="B144" s="4"/>
      <c r="C144" s="1"/>
      <c r="D144" s="3"/>
      <c r="E144" s="4"/>
      <c r="F144" s="4"/>
      <c r="G144" s="4"/>
      <c r="H144" s="3"/>
      <c r="I144" s="3"/>
      <c r="J144" s="3"/>
      <c r="K144" s="3"/>
      <c r="L144" s="3"/>
      <c r="M144" s="3"/>
    </row>
    <row r="145" spans="2:13" x14ac:dyDescent="0.35">
      <c r="B145" s="4"/>
      <c r="C145" s="1"/>
      <c r="D145" s="3"/>
      <c r="E145" s="4"/>
      <c r="F145" s="4"/>
      <c r="G145" s="4"/>
      <c r="H145" s="3"/>
      <c r="I145" s="3"/>
      <c r="J145" s="3"/>
      <c r="K145" s="3"/>
      <c r="L145" s="3"/>
      <c r="M145" s="3"/>
    </row>
    <row r="146" spans="2:13" x14ac:dyDescent="0.35">
      <c r="B146" s="4"/>
      <c r="C146" s="1"/>
      <c r="D146" s="3"/>
      <c r="E146" s="4"/>
      <c r="F146" s="4"/>
      <c r="G146" s="4"/>
      <c r="H146" s="3"/>
      <c r="I146" s="3"/>
      <c r="J146" s="3"/>
      <c r="K146" s="3"/>
      <c r="L146" s="3"/>
      <c r="M146" s="3"/>
    </row>
    <row r="147" spans="2:13" x14ac:dyDescent="0.35">
      <c r="B147" s="4"/>
      <c r="C147" s="1"/>
      <c r="D147" s="3"/>
      <c r="E147" s="4"/>
      <c r="F147" s="4"/>
      <c r="G147" s="4"/>
      <c r="H147" s="3"/>
      <c r="I147" s="3"/>
      <c r="J147" s="3"/>
      <c r="K147" s="3"/>
      <c r="L147" s="3"/>
      <c r="M147" s="3"/>
    </row>
    <row r="148" spans="2:13" x14ac:dyDescent="0.35">
      <c r="B148" s="4"/>
      <c r="C148" s="1"/>
      <c r="D148" s="3"/>
      <c r="E148" s="4"/>
      <c r="F148" s="4"/>
      <c r="G148" s="4"/>
      <c r="H148" s="3"/>
      <c r="I148" s="3"/>
      <c r="J148" s="3"/>
      <c r="K148" s="3"/>
      <c r="L148" s="3"/>
      <c r="M148" s="3"/>
    </row>
  </sheetData>
  <sortState xmlns:xlrd2="http://schemas.microsoft.com/office/spreadsheetml/2017/richdata2" ref="B2:M148">
    <sortCondition ref="B2:B1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Паспорт качества</vt:lpstr>
      <vt:lpstr>Лист2</vt:lpstr>
      <vt:lpstr>Журнал АВК</vt:lpstr>
      <vt:lpstr>'Паспорт качества'!Область_печати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Гайк Смбатян</cp:lastModifiedBy>
  <cp:lastPrinted>2024-07-30T09:46:23Z</cp:lastPrinted>
  <dcterms:created xsi:type="dcterms:W3CDTF">2024-01-23T07:13:56Z</dcterms:created>
  <dcterms:modified xsi:type="dcterms:W3CDTF">2026-10-06T10:25:02Z</dcterms:modified>
</cp:coreProperties>
</file>