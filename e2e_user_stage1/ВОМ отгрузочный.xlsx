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Гараж казахстан\Паспорт\8 от 02.10.2026\"/>
    </mc:Choice>
  </mc:AlternateContent>
  <xr:revisionPtr revIDLastSave="0" documentId="8_{32E1855D-D14F-4F1A-95EE-2F6C69EADB53}" xr6:coauthVersionLast="47" xr6:coauthVersionMax="47" xr10:uidLastSave="{00000000-0000-0000-0000-000000000000}"/>
  <bookViews>
    <workbookView xWindow="38400" yWindow="570" windowWidth="28800" windowHeight="15570" xr2:uid="{DC910DB1-8142-45A5-AE05-73D3E3F1B8ED}"/>
  </bookViews>
  <sheets>
    <sheet name="!01_ВЗМК_A_Ведомость отправочны" sheetId="2" r:id="rId1"/>
  </sheets>
  <definedNames>
    <definedName name="_xlnm._FilterDatabase" localSheetId="0" hidden="1">'!01_ВЗМК_A_Ведомость отправочны'!$A$2:$H$35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4" i="2"/>
</calcChain>
</file>

<file path=xl/sharedStrings.xml><?xml version="1.0" encoding="utf-8"?>
<sst xmlns="http://schemas.openxmlformats.org/spreadsheetml/2006/main" count="107" uniqueCount="74">
  <si>
    <t xml:space="preserve">Лист № </t>
  </si>
  <si>
    <t xml:space="preserve">Отправочная марка </t>
  </si>
  <si>
    <t xml:space="preserve">Наименование марки </t>
  </si>
  <si>
    <t xml:space="preserve">Количество </t>
  </si>
  <si>
    <t xml:space="preserve">Масса (изделие), кг </t>
  </si>
  <si>
    <t xml:space="preserve">Площадь окраски, м2 </t>
  </si>
  <si>
    <t>1 дет.</t>
  </si>
  <si>
    <t>Всех</t>
  </si>
  <si>
    <t>  3.1</t>
  </si>
  <si>
    <t>Бп1-1</t>
  </si>
  <si>
    <t>Балка</t>
  </si>
  <si>
    <t>  3.2</t>
  </si>
  <si>
    <t>Бп1-2</t>
  </si>
  <si>
    <t>  3.3</t>
  </si>
  <si>
    <t>Бп1-3</t>
  </si>
  <si>
    <t>  3.4</t>
  </si>
  <si>
    <t>Бп1-4</t>
  </si>
  <si>
    <t>  3.5</t>
  </si>
  <si>
    <t>Бп1-5</t>
  </si>
  <si>
    <t>  3.6</t>
  </si>
  <si>
    <t>Бп1-6</t>
  </si>
  <si>
    <t>  3.7</t>
  </si>
  <si>
    <t>Бп1-7</t>
  </si>
  <si>
    <t>  3.8</t>
  </si>
  <si>
    <t>Бп1-8</t>
  </si>
  <si>
    <t>  3.9</t>
  </si>
  <si>
    <t>Бп1-9</t>
  </si>
  <si>
    <t>  3.10</t>
  </si>
  <si>
    <t>Бп1-10</t>
  </si>
  <si>
    <t>  3.11</t>
  </si>
  <si>
    <t>Бп1-11</t>
  </si>
  <si>
    <t>  3.12</t>
  </si>
  <si>
    <t>Бп1-12</t>
  </si>
  <si>
    <t>  3.13</t>
  </si>
  <si>
    <t>Бп1-13</t>
  </si>
  <si>
    <t>  3.14</t>
  </si>
  <si>
    <t>Бп1-14</t>
  </si>
  <si>
    <t>  3.15</t>
  </si>
  <si>
    <t>Бп1-15</t>
  </si>
  <si>
    <t>  3.16</t>
  </si>
  <si>
    <t>Бп1-16</t>
  </si>
  <si>
    <t>  3.17</t>
  </si>
  <si>
    <t>Бп1-17</t>
  </si>
  <si>
    <t>  3.18</t>
  </si>
  <si>
    <t>Бп1-18</t>
  </si>
  <si>
    <t>  3.19</t>
  </si>
  <si>
    <t>Бп1-19</t>
  </si>
  <si>
    <t>  3.20</t>
  </si>
  <si>
    <t>Бп1-20</t>
  </si>
  <si>
    <t>  3.21</t>
  </si>
  <si>
    <t>Бп1-21</t>
  </si>
  <si>
    <t>  3.22</t>
  </si>
  <si>
    <t>Бп1-22</t>
  </si>
  <si>
    <t>  3.23</t>
  </si>
  <si>
    <t>Бп1-23</t>
  </si>
  <si>
    <t>  3.24</t>
  </si>
  <si>
    <t>Бп1-24</t>
  </si>
  <si>
    <t>  3.25</t>
  </si>
  <si>
    <t>Бп1-25</t>
  </si>
  <si>
    <t>  3.26</t>
  </si>
  <si>
    <t>Бп1-26</t>
  </si>
  <si>
    <t>  3.27</t>
  </si>
  <si>
    <t>Бп1-27</t>
  </si>
  <si>
    <t>  3.28</t>
  </si>
  <si>
    <t>Бп1-28</t>
  </si>
  <si>
    <t>  3.29</t>
  </si>
  <si>
    <t>Бп1-29</t>
  </si>
  <si>
    <t>  3.30</t>
  </si>
  <si>
    <t>Бп1-30</t>
  </si>
  <si>
    <t>  3.31</t>
  </si>
  <si>
    <t>Бп1-31</t>
  </si>
  <si>
    <t>  3.32</t>
  </si>
  <si>
    <t>Бп1-32</t>
  </si>
  <si>
    <t>Ведомость отправочных марок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</si>
</sst>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u/>
      <sz val="11"/>
      <color rgb="FF0000FF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0F8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2" applyNumberFormat="0" applyAlignment="0" applyProtection="0"/>
    <xf numFmtId="0" fontId="4" fillId="27" borderId="3" applyNumberFormat="0" applyAlignment="0" applyProtection="0"/>
    <xf numFmtId="0" fontId="5" fillId="27" borderId="2" applyNumberFormat="0" applyAlignment="0" applyProtection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7" applyNumberFormat="0" applyFill="0" applyAlignment="0" applyProtection="0"/>
    <xf numFmtId="0" fontId="11" fillId="28" borderId="8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0" applyNumberFormat="0" applyFill="0" applyBorder="0" applyAlignment="0" applyProtection="0"/>
    <xf numFmtId="0" fontId="1" fillId="31" borderId="9" applyNumberFormat="0" applyFont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19" fillId="32" borderId="0" applyNumberFormat="0" applyBorder="0" applyAlignment="0" applyProtection="0"/>
  </cellStyleXfs>
  <cellXfs count="9">
    <xf numFmtId="0" fontId="0" fillId="0" borderId="0" xfId="0"/>
    <xf numFmtId="0" fontId="10" fillId="0" borderId="11" xfId="0" applyFont="1" applyBorder="1" applyAlignment="1">
      <alignment horizontal="center" wrapText="1"/>
    </xf>
    <xf numFmtId="0" fontId="6" fillId="33" borderId="11" xfId="0" applyFont="1" applyFill="1" applyBorder="1" applyAlignment="1">
      <alignment horizontal="center" wrapText="1"/>
    </xf>
    <xf numFmtId="0" fontId="6" fillId="33" borderId="11" xfId="28" applyFill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0" fillId="0" borderId="14" xfId="0" applyFont="1" applyBorder="1" applyAlignment="1">
      <alignment horizontal="center" wrapText="1"/>
    </xf>
    <xf numFmtId="0" fontId="10" fillId="0" borderId="15" xfId="0" applyFont="1" applyBorder="1" applyAlignment="1">
      <alignment horizontal="center" wrapText="1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Гиперссылка" xfId="28" builtinId="8" customBuiltin="1"/>
    <cellStyle name="Заголовок 1" xfId="29" builtinId="16" customBuiltin="1"/>
    <cellStyle name="Заголовок 2" xfId="30" builtinId="17" customBuiltin="1"/>
    <cellStyle name="Заголовок 3" xfId="31" builtinId="18" customBuiltin="1"/>
    <cellStyle name="Заголовок 4" xfId="32" builtinId="19" customBuiltin="1"/>
    <cellStyle name="Итог" xfId="33" builtinId="25" customBuiltin="1"/>
    <cellStyle name="Контрольная ячейка" xfId="34" builtinId="23" customBuiltin="1"/>
    <cellStyle name="Название" xfId="35" builtinId="15" customBuiltin="1"/>
    <cellStyle name="Нейтральный" xfId="36" builtinId="28" customBuiltin="1"/>
    <cellStyle name="Обычный" xfId="0" builtinId="0"/>
    <cellStyle name="Открывавшаяся гиперссылка" xfId="37" builtinId="9" customBuiltin="1"/>
    <cellStyle name="Плохой" xfId="38" builtinId="27" customBuiltin="1"/>
    <cellStyle name="Пояснение" xfId="39" builtinId="53" customBuiltin="1"/>
    <cellStyle name="Примечание" xfId="40" builtinId="10" customBuiltin="1"/>
    <cellStyle name="Связанная ячейка" xfId="41" builtinId="24" customBuiltin="1"/>
    <cellStyle name="Текст предупреждения" xfId="42" builtinId="11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13.pdf" TargetMode="External"/><Relationship Id="rId18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18.pdf" TargetMode="External"/><Relationship Id="rId26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26.pdf" TargetMode="External"/><Relationship Id="rId3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3.pdf" TargetMode="External"/><Relationship Id="rId21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21.pdf" TargetMode="External"/><Relationship Id="rId7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7.pdf" TargetMode="External"/><Relationship Id="rId12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12.pdf" TargetMode="External"/><Relationship Id="rId17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17.pdf" TargetMode="External"/><Relationship Id="rId25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25.pdf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2.pdf" TargetMode="External"/><Relationship Id="rId16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16.pdf" TargetMode="External"/><Relationship Id="rId20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20.pdf" TargetMode="External"/><Relationship Id="rId29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29.pdf" TargetMode="External"/><Relationship Id="rId1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1.pdf" TargetMode="External"/><Relationship Id="rId6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6.pdf" TargetMode="External"/><Relationship Id="rId11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11.pdf" TargetMode="External"/><Relationship Id="rId24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24.pdf" TargetMode="External"/><Relationship Id="rId32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32.pdf" TargetMode="External"/><Relationship Id="rId5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5.pdf" TargetMode="External"/><Relationship Id="rId15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15.pdf" TargetMode="External"/><Relationship Id="rId23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23.pdf" TargetMode="External"/><Relationship Id="rId28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28.pdf" TargetMode="External"/><Relationship Id="rId10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10.pdf" TargetMode="External"/><Relationship Id="rId19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19.pdf" TargetMode="External"/><Relationship Id="rId31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31.pdf" TargetMode="External"/><Relationship Id="rId4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4.pdf" TargetMode="External"/><Relationship Id="rId9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9.pdf" TargetMode="External"/><Relationship Id="rId14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14.pdf" TargetMode="External"/><Relationship Id="rId22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22.pdf" TargetMode="External"/><Relationship Id="rId27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27.pdf" TargetMode="External"/><Relationship Id="rId30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30.pdf" TargetMode="External"/><Relationship Id="rId8" Type="http://schemas.openxmlformats.org/officeDocument/2006/relationships/hyperlink" Target="../&#1052;&#1086;&#1076;&#1077;&#1083;&#1100;/&#1043;&#1072;&#1088;&#1072;&#1078;%20&#1050;&#1072;&#1079;&#1072;&#1093;&#1089;&#1090;&#1072;&#1085;/0_&#1085;&#1086;&#1084;&#1077;&#1088;_&#1079;&#1072;&#1082;&#1072;&#1079;&#1072;/3_&#1050;&#1052;&#1044;/PDF/&#1057;&#1073;&#1086;&#1088;&#1082;&#1080;/&#1041;&#1087;1-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387C-CC02-4132-8746-3BDC18E4B6FE}">
  <sheetPr>
    <pageSetUpPr fitToPage="1"/>
  </sheetPr>
  <dimension ref="A1:H35"/>
  <sheetViews>
    <sheetView showGridLines="0" tabSelected="1" workbookViewId="0">
      <selection activeCell="L12" sqref="L12"/>
    </sheetView>
  </sheetViews>
  <sheetFormatPr defaultRowHeight="14.5" x14ac:dyDescent="0.35"/>
  <cols>
    <col min="1" max="1" width="8.54296875" customWidth="1"/>
    <col min="2" max="2" width="21" customWidth="1"/>
    <col min="3" max="3" width="22" bestFit="1" customWidth="1"/>
    <col min="4" max="4" width="12" bestFit="1" customWidth="1"/>
    <col min="5" max="5" width="8.54296875" customWidth="1"/>
    <col min="6" max="6" width="10.81640625" customWidth="1"/>
    <col min="7" max="7" width="9.453125" customWidth="1"/>
    <col min="8" max="8" width="12" customWidth="1"/>
  </cols>
  <sheetData>
    <row r="1" spans="1:8" x14ac:dyDescent="0.35">
      <c r="A1" s="6" t="s">
        <v>73</v>
      </c>
      <c r="B1" s="6"/>
      <c r="C1" s="6"/>
      <c r="D1" s="6"/>
      <c r="E1" s="6"/>
      <c r="F1" s="6"/>
      <c r="G1" s="6"/>
      <c r="H1" s="6"/>
    </row>
    <row r="2" spans="1:8" ht="15" customHeight="1" x14ac:dyDescent="0.35">
      <c r="A2" s="4" t="s">
        <v>0</v>
      </c>
      <c r="B2" s="4" t="s">
        <v>1</v>
      </c>
      <c r="C2" s="4" t="s">
        <v>2</v>
      </c>
      <c r="D2" s="4" t="s">
        <v>3</v>
      </c>
      <c r="E2" s="7" t="s">
        <v>4</v>
      </c>
      <c r="F2" s="8"/>
      <c r="G2" s="7" t="s">
        <v>5</v>
      </c>
      <c r="H2" s="8"/>
    </row>
    <row r="3" spans="1:8" x14ac:dyDescent="0.35">
      <c r="A3" s="5"/>
      <c r="B3" s="5"/>
      <c r="C3" s="5"/>
      <c r="D3" s="5"/>
      <c r="E3" s="1" t="s">
        <v>6</v>
      </c>
      <c r="F3" s="1" t="s">
        <v>7</v>
      </c>
      <c r="G3" s="1" t="s">
        <v>6</v>
      </c>
      <c r="H3" s="1" t="s">
        <v>7</v>
      </c>
    </row>
    <row r="4" spans="1:8" x14ac:dyDescent="0.35">
      <c r="A4" s="2" t="s">
        <v>8</v>
      </c>
      <c r="B4" s="3" t="s">
        <v>9</v>
      </c>
      <c r="C4" s="2" t="s">
        <v>10</v>
      </c>
      <c r="D4" s="2">
        <v>1</v>
      </c>
      <c r="E4" s="2">
        <v>239.87</v>
      </c>
      <c r="F4" s="2">
        <f t="shared" ref="F4:F35" si="0">E4*D4</f>
        <v>239.87</v>
      </c>
      <c r="G4" s="2">
        <v>7.7290000000000001</v>
      </c>
      <c r="H4" s="2">
        <v>7.7290000000000001</v>
      </c>
    </row>
    <row r="5" spans="1:8" x14ac:dyDescent="0.35">
      <c r="A5" s="2" t="s">
        <v>11</v>
      </c>
      <c r="B5" s="3" t="s">
        <v>12</v>
      </c>
      <c r="C5" s="2" t="s">
        <v>10</v>
      </c>
      <c r="D5" s="2">
        <v>1</v>
      </c>
      <c r="E5" s="2">
        <v>194.05</v>
      </c>
      <c r="F5" s="2">
        <f t="shared" si="0"/>
        <v>194.05</v>
      </c>
      <c r="G5" s="2">
        <v>6.2539999999999996</v>
      </c>
      <c r="H5" s="2">
        <v>6.2539999999999996</v>
      </c>
    </row>
    <row r="6" spans="1:8" x14ac:dyDescent="0.35">
      <c r="A6" s="2" t="s">
        <v>13</v>
      </c>
      <c r="B6" s="3" t="s">
        <v>14</v>
      </c>
      <c r="C6" s="2" t="s">
        <v>10</v>
      </c>
      <c r="D6" s="2">
        <v>1</v>
      </c>
      <c r="E6" s="2">
        <v>208.03</v>
      </c>
      <c r="F6" s="2">
        <f t="shared" si="0"/>
        <v>208.03</v>
      </c>
      <c r="G6" s="2">
        <v>6.7009999999999996</v>
      </c>
      <c r="H6" s="2">
        <v>6.7009999999999996</v>
      </c>
    </row>
    <row r="7" spans="1:8" x14ac:dyDescent="0.35">
      <c r="A7" s="2" t="s">
        <v>15</v>
      </c>
      <c r="B7" s="3" t="s">
        <v>16</v>
      </c>
      <c r="C7" s="2" t="s">
        <v>10</v>
      </c>
      <c r="D7" s="2">
        <v>4</v>
      </c>
      <c r="E7" s="2">
        <v>258.70999999999998</v>
      </c>
      <c r="F7" s="2">
        <f t="shared" si="0"/>
        <v>1034.8399999999999</v>
      </c>
      <c r="G7" s="2">
        <v>7.7839999999999998</v>
      </c>
      <c r="H7" s="2">
        <v>31.135999999999999</v>
      </c>
    </row>
    <row r="8" spans="1:8" x14ac:dyDescent="0.35">
      <c r="A8" s="2" t="s">
        <v>17</v>
      </c>
      <c r="B8" s="3" t="s">
        <v>18</v>
      </c>
      <c r="C8" s="2" t="s">
        <v>10</v>
      </c>
      <c r="D8" s="2">
        <v>4</v>
      </c>
      <c r="E8" s="2">
        <v>411.02</v>
      </c>
      <c r="F8" s="2">
        <f t="shared" si="0"/>
        <v>1644.08</v>
      </c>
      <c r="G8" s="2">
        <v>12.71</v>
      </c>
      <c r="H8" s="2">
        <v>50.84</v>
      </c>
    </row>
    <row r="9" spans="1:8" x14ac:dyDescent="0.35">
      <c r="A9" s="2" t="s">
        <v>19</v>
      </c>
      <c r="B9" s="3" t="s">
        <v>20</v>
      </c>
      <c r="C9" s="2" t="s">
        <v>10</v>
      </c>
      <c r="D9" s="2">
        <v>1</v>
      </c>
      <c r="E9" s="2">
        <v>440.28</v>
      </c>
      <c r="F9" s="2">
        <f t="shared" si="0"/>
        <v>440.28</v>
      </c>
      <c r="G9" s="2">
        <v>13.664</v>
      </c>
      <c r="H9" s="2">
        <v>13.664</v>
      </c>
    </row>
    <row r="10" spans="1:8" x14ac:dyDescent="0.35">
      <c r="A10" s="2" t="s">
        <v>21</v>
      </c>
      <c r="B10" s="3" t="s">
        <v>22</v>
      </c>
      <c r="C10" s="2" t="s">
        <v>10</v>
      </c>
      <c r="D10" s="2">
        <v>2</v>
      </c>
      <c r="E10" s="2">
        <v>230.71</v>
      </c>
      <c r="F10" s="2">
        <f t="shared" si="0"/>
        <v>461.42</v>
      </c>
      <c r="G10" s="2">
        <v>7.3490000000000002</v>
      </c>
      <c r="H10" s="2">
        <v>14.696999999999999</v>
      </c>
    </row>
    <row r="11" spans="1:8" x14ac:dyDescent="0.35">
      <c r="A11" s="2" t="s">
        <v>23</v>
      </c>
      <c r="B11" s="3" t="s">
        <v>24</v>
      </c>
      <c r="C11" s="2" t="s">
        <v>10</v>
      </c>
      <c r="D11" s="2">
        <v>3</v>
      </c>
      <c r="E11" s="2">
        <v>383.02</v>
      </c>
      <c r="F11" s="2">
        <f t="shared" si="0"/>
        <v>1149.06</v>
      </c>
      <c r="G11" s="2">
        <v>12.275</v>
      </c>
      <c r="H11" s="2">
        <v>36.823999999999998</v>
      </c>
    </row>
    <row r="12" spans="1:8" x14ac:dyDescent="0.35">
      <c r="A12" s="2" t="s">
        <v>25</v>
      </c>
      <c r="B12" s="3" t="s">
        <v>26</v>
      </c>
      <c r="C12" s="2" t="s">
        <v>10</v>
      </c>
      <c r="D12" s="2">
        <v>4</v>
      </c>
      <c r="E12" s="2">
        <v>412.29</v>
      </c>
      <c r="F12" s="2">
        <f t="shared" si="0"/>
        <v>1649.16</v>
      </c>
      <c r="G12" s="2">
        <v>13.228999999999999</v>
      </c>
      <c r="H12" s="2">
        <v>52.914000000000001</v>
      </c>
    </row>
    <row r="13" spans="1:8" x14ac:dyDescent="0.35">
      <c r="A13" s="2" t="s">
        <v>27</v>
      </c>
      <c r="B13" s="3" t="s">
        <v>28</v>
      </c>
      <c r="C13" s="2" t="s">
        <v>10</v>
      </c>
      <c r="D13" s="2">
        <v>1</v>
      </c>
      <c r="E13" s="2">
        <v>196.67</v>
      </c>
      <c r="F13" s="2">
        <f t="shared" si="0"/>
        <v>196.67</v>
      </c>
      <c r="G13" s="2">
        <v>6.2069999999999999</v>
      </c>
      <c r="H13" s="2">
        <v>6.2069999999999999</v>
      </c>
    </row>
    <row r="14" spans="1:8" x14ac:dyDescent="0.35">
      <c r="A14" s="2" t="s">
        <v>29</v>
      </c>
      <c r="B14" s="3" t="s">
        <v>30</v>
      </c>
      <c r="C14" s="2" t="s">
        <v>10</v>
      </c>
      <c r="D14" s="2">
        <v>1</v>
      </c>
      <c r="E14" s="2">
        <v>151.04</v>
      </c>
      <c r="F14" s="2">
        <f t="shared" si="0"/>
        <v>151.04</v>
      </c>
      <c r="G14" s="2">
        <v>4.8780000000000001</v>
      </c>
      <c r="H14" s="2">
        <v>4.8780000000000001</v>
      </c>
    </row>
    <row r="15" spans="1:8" x14ac:dyDescent="0.35">
      <c r="A15" s="2" t="s">
        <v>31</v>
      </c>
      <c r="B15" s="3" t="s">
        <v>32</v>
      </c>
      <c r="C15" s="2" t="s">
        <v>10</v>
      </c>
      <c r="D15" s="2">
        <v>1</v>
      </c>
      <c r="E15" s="2">
        <v>194.05</v>
      </c>
      <c r="F15" s="2">
        <f t="shared" si="0"/>
        <v>194.05</v>
      </c>
      <c r="G15" s="2">
        <v>6.2539999999999996</v>
      </c>
      <c r="H15" s="2">
        <v>6.2539999999999996</v>
      </c>
    </row>
    <row r="16" spans="1:8" x14ac:dyDescent="0.35">
      <c r="A16" s="2" t="s">
        <v>33</v>
      </c>
      <c r="B16" s="3" t="s">
        <v>34</v>
      </c>
      <c r="C16" s="2" t="s">
        <v>10</v>
      </c>
      <c r="D16" s="2">
        <v>1</v>
      </c>
      <c r="E16" s="2">
        <v>234.36</v>
      </c>
      <c r="F16" s="2">
        <f t="shared" si="0"/>
        <v>234.36</v>
      </c>
      <c r="G16" s="2">
        <v>7.5309999999999997</v>
      </c>
      <c r="H16" s="2">
        <v>7.5309999999999997</v>
      </c>
    </row>
    <row r="17" spans="1:8" x14ac:dyDescent="0.35">
      <c r="A17" s="2" t="s">
        <v>35</v>
      </c>
      <c r="B17" s="3" t="s">
        <v>36</v>
      </c>
      <c r="C17" s="2" t="s">
        <v>10</v>
      </c>
      <c r="D17" s="2">
        <v>1</v>
      </c>
      <c r="E17" s="2">
        <v>201.83</v>
      </c>
      <c r="F17" s="2">
        <f t="shared" si="0"/>
        <v>201.83</v>
      </c>
      <c r="G17" s="2">
        <v>6.4729999999999999</v>
      </c>
      <c r="H17" s="2">
        <v>6.4729999999999999</v>
      </c>
    </row>
    <row r="18" spans="1:8" x14ac:dyDescent="0.35">
      <c r="A18" s="2" t="s">
        <v>37</v>
      </c>
      <c r="B18" s="3" t="s">
        <v>38</v>
      </c>
      <c r="C18" s="2" t="s">
        <v>10</v>
      </c>
      <c r="D18" s="2">
        <v>1</v>
      </c>
      <c r="E18" s="2">
        <v>414.51</v>
      </c>
      <c r="F18" s="2">
        <f t="shared" si="0"/>
        <v>414.51</v>
      </c>
      <c r="G18" s="2">
        <v>13.092000000000001</v>
      </c>
      <c r="H18" s="2">
        <v>13.092000000000001</v>
      </c>
    </row>
    <row r="19" spans="1:8" x14ac:dyDescent="0.35">
      <c r="A19" s="2" t="s">
        <v>39</v>
      </c>
      <c r="B19" s="3" t="s">
        <v>40</v>
      </c>
      <c r="C19" s="2" t="s">
        <v>10</v>
      </c>
      <c r="D19" s="2">
        <v>1</v>
      </c>
      <c r="E19" s="2">
        <v>172.12</v>
      </c>
      <c r="F19" s="2">
        <f t="shared" si="0"/>
        <v>172.12</v>
      </c>
      <c r="G19" s="2">
        <v>5.4359999999999999</v>
      </c>
      <c r="H19" s="2">
        <v>5.4359999999999999</v>
      </c>
    </row>
    <row r="20" spans="1:8" x14ac:dyDescent="0.35">
      <c r="A20" s="2" t="s">
        <v>41</v>
      </c>
      <c r="B20" s="3" t="s">
        <v>42</v>
      </c>
      <c r="C20" s="2" t="s">
        <v>10</v>
      </c>
      <c r="D20" s="2">
        <v>1</v>
      </c>
      <c r="E20" s="2">
        <v>204.93</v>
      </c>
      <c r="F20" s="2">
        <f t="shared" si="0"/>
        <v>204.93</v>
      </c>
      <c r="G20" s="2">
        <v>6.6369999999999996</v>
      </c>
      <c r="H20" s="2">
        <v>6.6369999999999996</v>
      </c>
    </row>
    <row r="21" spans="1:8" x14ac:dyDescent="0.35">
      <c r="A21" s="2" t="s">
        <v>43</v>
      </c>
      <c r="B21" s="3" t="s">
        <v>44</v>
      </c>
      <c r="C21" s="2" t="s">
        <v>10</v>
      </c>
      <c r="D21" s="2">
        <v>1</v>
      </c>
      <c r="E21" s="2">
        <v>390.7</v>
      </c>
      <c r="F21" s="2">
        <f t="shared" si="0"/>
        <v>390.7</v>
      </c>
      <c r="G21" s="2">
        <v>12.561999999999999</v>
      </c>
      <c r="H21" s="2">
        <v>12.561999999999999</v>
      </c>
    </row>
    <row r="22" spans="1:8" x14ac:dyDescent="0.35">
      <c r="A22" s="2" t="s">
        <v>45</v>
      </c>
      <c r="B22" s="3" t="s">
        <v>46</v>
      </c>
      <c r="C22" s="2" t="s">
        <v>10</v>
      </c>
      <c r="D22" s="2">
        <v>1</v>
      </c>
      <c r="E22" s="2">
        <v>349.91</v>
      </c>
      <c r="F22" s="2">
        <f t="shared" si="0"/>
        <v>349.91</v>
      </c>
      <c r="G22" s="2">
        <v>11.041</v>
      </c>
      <c r="H22" s="2">
        <v>11.041</v>
      </c>
    </row>
    <row r="23" spans="1:8" x14ac:dyDescent="0.35">
      <c r="A23" s="2" t="s">
        <v>47</v>
      </c>
      <c r="B23" s="3" t="s">
        <v>48</v>
      </c>
      <c r="C23" s="2" t="s">
        <v>10</v>
      </c>
      <c r="D23" s="2">
        <v>1</v>
      </c>
      <c r="E23" s="2">
        <v>237.46</v>
      </c>
      <c r="F23" s="2">
        <f t="shared" si="0"/>
        <v>237.46</v>
      </c>
      <c r="G23" s="2">
        <v>7.6959999999999997</v>
      </c>
      <c r="H23" s="2">
        <v>7.6959999999999997</v>
      </c>
    </row>
    <row r="24" spans="1:8" x14ac:dyDescent="0.35">
      <c r="A24" s="2" t="s">
        <v>49</v>
      </c>
      <c r="B24" s="3" t="s">
        <v>50</v>
      </c>
      <c r="C24" s="2" t="s">
        <v>10</v>
      </c>
      <c r="D24" s="2">
        <v>1</v>
      </c>
      <c r="E24" s="2">
        <v>220.06</v>
      </c>
      <c r="F24" s="2">
        <f t="shared" si="0"/>
        <v>220.06</v>
      </c>
      <c r="G24" s="2">
        <v>7.0860000000000003</v>
      </c>
      <c r="H24" s="2">
        <v>7.0860000000000003</v>
      </c>
    </row>
    <row r="25" spans="1:8" x14ac:dyDescent="0.35">
      <c r="A25" s="2" t="s">
        <v>51</v>
      </c>
      <c r="B25" s="3" t="s">
        <v>52</v>
      </c>
      <c r="C25" s="2" t="s">
        <v>10</v>
      </c>
      <c r="D25" s="2">
        <v>3</v>
      </c>
      <c r="E25" s="2">
        <v>190.43</v>
      </c>
      <c r="F25" s="2">
        <f t="shared" si="0"/>
        <v>571.29</v>
      </c>
      <c r="G25" s="2">
        <v>6.1740000000000004</v>
      </c>
      <c r="H25" s="2">
        <v>18.521000000000001</v>
      </c>
    </row>
    <row r="26" spans="1:8" x14ac:dyDescent="0.35">
      <c r="A26" s="2" t="s">
        <v>53</v>
      </c>
      <c r="B26" s="3" t="s">
        <v>54</v>
      </c>
      <c r="C26" s="2" t="s">
        <v>10</v>
      </c>
      <c r="D26" s="2">
        <v>1</v>
      </c>
      <c r="E26" s="2">
        <v>267.83</v>
      </c>
      <c r="F26" s="2">
        <f t="shared" si="0"/>
        <v>267.83</v>
      </c>
      <c r="G26" s="2">
        <v>8.4149999999999991</v>
      </c>
      <c r="H26" s="2">
        <v>8.4149999999999991</v>
      </c>
    </row>
    <row r="27" spans="1:8" x14ac:dyDescent="0.35">
      <c r="A27" s="2" t="s">
        <v>55</v>
      </c>
      <c r="B27" s="3" t="s">
        <v>56</v>
      </c>
      <c r="C27" s="2" t="s">
        <v>10</v>
      </c>
      <c r="D27" s="2">
        <v>2</v>
      </c>
      <c r="E27" s="2">
        <v>417.91</v>
      </c>
      <c r="F27" s="2">
        <f t="shared" si="0"/>
        <v>835.82</v>
      </c>
      <c r="G27" s="2">
        <v>13.54</v>
      </c>
      <c r="H27" s="2">
        <v>27.08</v>
      </c>
    </row>
    <row r="28" spans="1:8" x14ac:dyDescent="0.35">
      <c r="A28" s="2" t="s">
        <v>57</v>
      </c>
      <c r="B28" s="3" t="s">
        <v>58</v>
      </c>
      <c r="C28" s="2" t="s">
        <v>10</v>
      </c>
      <c r="D28" s="2">
        <v>1</v>
      </c>
      <c r="E28" s="2">
        <v>252.8</v>
      </c>
      <c r="F28" s="2">
        <f t="shared" si="0"/>
        <v>252.8</v>
      </c>
      <c r="G28" s="2">
        <v>8.1430000000000007</v>
      </c>
      <c r="H28" s="2">
        <v>8.1430000000000007</v>
      </c>
    </row>
    <row r="29" spans="1:8" x14ac:dyDescent="0.35">
      <c r="A29" s="2" t="s">
        <v>59</v>
      </c>
      <c r="B29" s="3" t="s">
        <v>60</v>
      </c>
      <c r="C29" s="2" t="s">
        <v>10</v>
      </c>
      <c r="D29" s="2">
        <v>1</v>
      </c>
      <c r="E29" s="2">
        <v>349.36</v>
      </c>
      <c r="F29" s="2">
        <f t="shared" si="0"/>
        <v>349.36</v>
      </c>
      <c r="G29" s="2">
        <v>10.99</v>
      </c>
      <c r="H29" s="2">
        <v>10.99</v>
      </c>
    </row>
    <row r="30" spans="1:8" x14ac:dyDescent="0.35">
      <c r="A30" s="2" t="s">
        <v>61</v>
      </c>
      <c r="B30" s="3" t="s">
        <v>62</v>
      </c>
      <c r="C30" s="2" t="s">
        <v>10</v>
      </c>
      <c r="D30" s="2">
        <v>1</v>
      </c>
      <c r="E30" s="2">
        <v>428.84</v>
      </c>
      <c r="F30" s="2">
        <f t="shared" si="0"/>
        <v>428.84</v>
      </c>
      <c r="G30" s="2">
        <v>13.787000000000001</v>
      </c>
      <c r="H30" s="2">
        <v>13.787000000000001</v>
      </c>
    </row>
    <row r="31" spans="1:8" x14ac:dyDescent="0.35">
      <c r="A31" s="2" t="s">
        <v>63</v>
      </c>
      <c r="B31" s="3" t="s">
        <v>64</v>
      </c>
      <c r="C31" s="2" t="s">
        <v>10</v>
      </c>
      <c r="D31" s="2">
        <v>2</v>
      </c>
      <c r="E31" s="2">
        <v>204.01</v>
      </c>
      <c r="F31" s="2">
        <f t="shared" si="0"/>
        <v>408.02</v>
      </c>
      <c r="G31" s="2">
        <v>6.5730000000000004</v>
      </c>
      <c r="H31" s="2">
        <v>13.145</v>
      </c>
    </row>
    <row r="32" spans="1:8" x14ac:dyDescent="0.35">
      <c r="A32" s="2" t="s">
        <v>65</v>
      </c>
      <c r="B32" s="3" t="s">
        <v>66</v>
      </c>
      <c r="C32" s="2" t="s">
        <v>10</v>
      </c>
      <c r="D32" s="2">
        <v>1</v>
      </c>
      <c r="E32" s="2">
        <v>218.91</v>
      </c>
      <c r="F32" s="2">
        <f t="shared" si="0"/>
        <v>218.91</v>
      </c>
      <c r="G32" s="2">
        <v>7.0490000000000004</v>
      </c>
      <c r="H32" s="2">
        <v>7.0490000000000004</v>
      </c>
    </row>
    <row r="33" spans="1:8" x14ac:dyDescent="0.35">
      <c r="A33" s="2" t="s">
        <v>67</v>
      </c>
      <c r="B33" s="3" t="s">
        <v>68</v>
      </c>
      <c r="C33" s="2" t="s">
        <v>10</v>
      </c>
      <c r="D33" s="2">
        <v>1</v>
      </c>
      <c r="E33" s="2">
        <v>221.27</v>
      </c>
      <c r="F33" s="2">
        <f t="shared" si="0"/>
        <v>221.27</v>
      </c>
      <c r="G33" s="2">
        <v>7.274</v>
      </c>
      <c r="H33" s="2">
        <v>7.274</v>
      </c>
    </row>
    <row r="34" spans="1:8" x14ac:dyDescent="0.35">
      <c r="A34" s="2" t="s">
        <v>69</v>
      </c>
      <c r="B34" s="3" t="s">
        <v>70</v>
      </c>
      <c r="C34" s="2" t="s">
        <v>10</v>
      </c>
      <c r="D34" s="2">
        <v>1</v>
      </c>
      <c r="E34" s="2">
        <v>208.03</v>
      </c>
      <c r="F34" s="2">
        <f t="shared" si="0"/>
        <v>208.03</v>
      </c>
      <c r="G34" s="2">
        <v>6.7009999999999996</v>
      </c>
      <c r="H34" s="2">
        <v>6.7009999999999996</v>
      </c>
    </row>
    <row r="35" spans="1:8" x14ac:dyDescent="0.35">
      <c r="A35" s="2" t="s">
        <v>71</v>
      </c>
      <c r="B35" s="3" t="s">
        <v>72</v>
      </c>
      <c r="C35" s="2" t="s">
        <v>10</v>
      </c>
      <c r="D35" s="2">
        <v>3</v>
      </c>
      <c r="E35" s="2">
        <v>440.28</v>
      </c>
      <c r="F35" s="2">
        <f t="shared" si="0"/>
        <v>1320.84</v>
      </c>
      <c r="G35" s="2">
        <v>13.664</v>
      </c>
      <c r="H35" s="2">
        <v>40.991999999999997</v>
      </c>
    </row>
  </sheetData>
  <autoFilter ref="A2:H35" xr:uid="{2357235A-BE11-45F7-A8DB-1471D37B25F1}">
    <filterColumn colId="4" showButton="0"/>
    <filterColumn colId="6" showButton="0"/>
  </autoFilter>
  <mergeCells count="7">
    <mergeCell ref="D2:D3"/>
    <mergeCell ref="A1:H1"/>
    <mergeCell ref="E2:F2"/>
    <mergeCell ref="G2:H2"/>
    <mergeCell ref="A2:A3"/>
    <mergeCell ref="B2:B3"/>
    <mergeCell ref="C2:C3"/>
  </mergeCells>
  <hyperlinks>
    <hyperlink ref="B4" r:id="rId1" display="../Модель/Гараж Казахстан/0_номер_заказа/3_КМД/PDF/Сборки/Бп1-1.pdf" xr:uid="{07DDF7C0-C62E-44E4-88F7-3128723188F8}"/>
    <hyperlink ref="B5" r:id="rId2" display="../Модель/Гараж Казахстан/0_номер_заказа/3_КМД/PDF/Сборки/Бп1-2.pdf" xr:uid="{F74807F0-4E8A-432B-B7D4-980DC11C44ED}"/>
    <hyperlink ref="B6" r:id="rId3" display="../Модель/Гараж Казахстан/0_номер_заказа/3_КМД/PDF/Сборки/Бп1-3.pdf" xr:uid="{18154AA4-A49F-4AEC-B709-DC9DBD040059}"/>
    <hyperlink ref="B7" r:id="rId4" display="../Модель/Гараж Казахстан/0_номер_заказа/3_КМД/PDF/Сборки/Бп1-4.pdf" xr:uid="{6A7E801D-6BAC-4077-A1CE-CC8EFD294B9D}"/>
    <hyperlink ref="B8" r:id="rId5" display="../Модель/Гараж Казахстан/0_номер_заказа/3_КМД/PDF/Сборки/Бп1-5.pdf" xr:uid="{57C19CD9-5CCB-4C1C-8193-87F567477B28}"/>
    <hyperlink ref="B9" r:id="rId6" display="../Модель/Гараж Казахстан/0_номер_заказа/3_КМД/PDF/Сборки/Бп1-6.pdf" xr:uid="{6FB8D730-7412-4671-AA6A-E7ADACBFD82D}"/>
    <hyperlink ref="B10" r:id="rId7" display="../Модель/Гараж Казахстан/0_номер_заказа/3_КМД/PDF/Сборки/Бп1-7.pdf" xr:uid="{F665B4B5-0FDB-47D4-A107-432A2EFB4BB8}"/>
    <hyperlink ref="B11" r:id="rId8" display="../Модель/Гараж Казахстан/0_номер_заказа/3_КМД/PDF/Сборки/Бп1-8.pdf" xr:uid="{1AF7C925-0C4A-4DB5-92DE-862C963D8A18}"/>
    <hyperlink ref="B12" r:id="rId9" display="../Модель/Гараж Казахстан/0_номер_заказа/3_КМД/PDF/Сборки/Бп1-9.pdf" xr:uid="{CBA5147A-3934-4EFF-B74D-94AD8F28B55D}"/>
    <hyperlink ref="B13" r:id="rId10" display="../Модель/Гараж Казахстан/0_номер_заказа/3_КМД/PDF/Сборки/Бп1-10.pdf" xr:uid="{7962A4B9-8314-4522-AAA6-4955DF24C4EB}"/>
    <hyperlink ref="B14" r:id="rId11" display="../Модель/Гараж Казахстан/0_номер_заказа/3_КМД/PDF/Сборки/Бп1-11.pdf" xr:uid="{062F139D-40A3-4D60-9805-44256018F83C}"/>
    <hyperlink ref="B15" r:id="rId12" display="../Модель/Гараж Казахстан/0_номер_заказа/3_КМД/PDF/Сборки/Бп1-12.pdf" xr:uid="{38511B3E-ADBA-4C4B-B91A-F9E39C73B007}"/>
    <hyperlink ref="B16" r:id="rId13" display="../Модель/Гараж Казахстан/0_номер_заказа/3_КМД/PDF/Сборки/Бп1-13.pdf" xr:uid="{DBDE73E9-CEAF-4534-8858-3828A29AEAEA}"/>
    <hyperlink ref="B17" r:id="rId14" display="../Модель/Гараж Казахстан/0_номер_заказа/3_КМД/PDF/Сборки/Бп1-14.pdf" xr:uid="{1C43AF0A-F3B6-4560-ABEE-8CD3C5A83A89}"/>
    <hyperlink ref="B18" r:id="rId15" display="../Модель/Гараж Казахстан/0_номер_заказа/3_КМД/PDF/Сборки/Бп1-15.pdf" xr:uid="{74E766D6-6E37-423E-91D5-CD14969E6CE5}"/>
    <hyperlink ref="B19" r:id="rId16" display="../Модель/Гараж Казахстан/0_номер_заказа/3_КМД/PDF/Сборки/Бп1-16.pdf" xr:uid="{8C581749-F658-4D56-A410-B0FA30CEE9AD}"/>
    <hyperlink ref="B20" r:id="rId17" display="../Модель/Гараж Казахстан/0_номер_заказа/3_КМД/PDF/Сборки/Бп1-17.pdf" xr:uid="{BEE14372-101F-4BC7-813E-B7D0660E76C6}"/>
    <hyperlink ref="B21" r:id="rId18" display="../Модель/Гараж Казахстан/0_номер_заказа/3_КМД/PDF/Сборки/Бп1-18.pdf" xr:uid="{976DF891-6F13-4C5C-90FA-73358AE00286}"/>
    <hyperlink ref="B22" r:id="rId19" display="../Модель/Гараж Казахстан/0_номер_заказа/3_КМД/PDF/Сборки/Бп1-19.pdf" xr:uid="{D9B242C8-D89D-4717-BA2C-1A814290121C}"/>
    <hyperlink ref="B23" r:id="rId20" display="../Модель/Гараж Казахстан/0_номер_заказа/3_КМД/PDF/Сборки/Бп1-20.pdf" xr:uid="{B847AE42-CFAC-4022-93F9-AC31FEE1CD5B}"/>
    <hyperlink ref="B24" r:id="rId21" display="../Модель/Гараж Казахстан/0_номер_заказа/3_КМД/PDF/Сборки/Бп1-21.pdf" xr:uid="{D2C4C5E0-2604-40E8-9B94-84C54F965350}"/>
    <hyperlink ref="B25" r:id="rId22" display="../Модель/Гараж Казахстан/0_номер_заказа/3_КМД/PDF/Сборки/Бп1-22.pdf" xr:uid="{872A0E17-F622-4C02-9B41-9067B56E01E1}"/>
    <hyperlink ref="B26" r:id="rId23" display="../Модель/Гараж Казахстан/0_номер_заказа/3_КМД/PDF/Сборки/Бп1-23.pdf" xr:uid="{26ABCA66-4C1E-4A03-94FA-8ECAC6A4B7E3}"/>
    <hyperlink ref="B27" r:id="rId24" display="../Модель/Гараж Казахстан/0_номер_заказа/3_КМД/PDF/Сборки/Бп1-24.pdf" xr:uid="{AE9828D2-065C-4B21-93DF-8EA594983392}"/>
    <hyperlink ref="B28" r:id="rId25" display="../Модель/Гараж Казахстан/0_номер_заказа/3_КМД/PDF/Сборки/Бп1-25.pdf" xr:uid="{0EA7935E-A9B3-4917-B571-454515557F18}"/>
    <hyperlink ref="B29" r:id="rId26" display="../Модель/Гараж Казахстан/0_номер_заказа/3_КМД/PDF/Сборки/Бп1-26.pdf" xr:uid="{31A93DBB-B452-4BF8-AB98-0A2564A3DDE6}"/>
    <hyperlink ref="B30" r:id="rId27" display="../Модель/Гараж Казахстан/0_номер_заказа/3_КМД/PDF/Сборки/Бп1-27.pdf" xr:uid="{BA0747BF-E8A8-43B4-B0A9-9900911FDD98}"/>
    <hyperlink ref="B31" r:id="rId28" display="../Модель/Гараж Казахстан/0_номер_заказа/3_КМД/PDF/Сборки/Бп1-28.pdf" xr:uid="{429880DF-369A-42A6-B769-CB9CA42FF353}"/>
    <hyperlink ref="B32" r:id="rId29" display="../Модель/Гараж Казахстан/0_номер_заказа/3_КМД/PDF/Сборки/Бп1-29.pdf" xr:uid="{DAEBE9B5-16C4-42D8-9266-E45A6ED81010}"/>
    <hyperlink ref="B33" r:id="rId30" display="../Модель/Гараж Казахстан/0_номер_заказа/3_КМД/PDF/Сборки/Бп1-30.pdf" xr:uid="{7F2871EF-8575-4667-BA0D-5D7E1936806B}"/>
    <hyperlink ref="B34" r:id="rId31" display="../Модель/Гараж Казахстан/0_номер_заказа/3_КМД/PDF/Сборки/Бп1-31.pdf" xr:uid="{2DCBA417-586F-4B31-8F9D-51C6F703148F}"/>
    <hyperlink ref="B35" r:id="rId32" display="../Модель/Гараж Казахстан/0_номер_заказа/3_КМД/PDF/Сборки/Бп1-32.pdf" xr:uid="{DD96E81F-778E-4223-9F1A-250A45F1C40F}"/>
  </hyperlinks>
  <pageMargins left="0.75" right="0.75" top="1" bottom="1" header="0.5" footer="0.5"/>
  <pageSetup paperSize="9" scale="97" orientation="portrait" verticalDpi="0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!01_ВЗМК_A_Ведомость отправочны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Ведомость окраски марок(только выбранное)</dc:title>
  <dc:creator>ВЗМК</dc:creator>
  <cp:lastModifiedBy>Гайк Смбатян</cp:lastModifiedBy>
  <cp:lastPrinted>2026-10-02T10:18:27Z</cp:lastPrinted>
  <dcterms:created xsi:type="dcterms:W3CDTF">2026-09-02T04:30:44Z</dcterms:created>
  <dcterms:modified xsi:type="dcterms:W3CDTF">2026-10-05T09:59:51Z</dcterms:modified>
</cp:coreProperties>
</file>